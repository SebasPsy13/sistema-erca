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qa/Desktop/PROGRAMA ERCA/BASES DE DATOS/"/>
    </mc:Choice>
  </mc:AlternateContent>
  <xr:revisionPtr revIDLastSave="0" documentId="13_ncr:1_{8AD05EC7-70EA-EE4C-A332-47CF25C10667}" xr6:coauthVersionLast="47" xr6:coauthVersionMax="47" xr10:uidLastSave="{00000000-0000-0000-0000-000000000000}"/>
  <bookViews>
    <workbookView xWindow="0" yWindow="660" windowWidth="29400" windowHeight="16720" xr2:uid="{D8C92CCF-1271-2E4D-BEB4-52928B912990}"/>
  </bookViews>
  <sheets>
    <sheet name="ERCA3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7" i="1" l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I2" i="1"/>
</calcChain>
</file>

<file path=xl/sharedStrings.xml><?xml version="1.0" encoding="utf-8"?>
<sst xmlns="http://schemas.openxmlformats.org/spreadsheetml/2006/main" count="861" uniqueCount="411">
  <si>
    <t>ITEM</t>
  </si>
  <si>
    <t>PACIENTE</t>
  </si>
  <si>
    <t>EDAD</t>
  </si>
  <si>
    <t>COD</t>
  </si>
  <si>
    <t>CAS</t>
  </si>
  <si>
    <t>DNI</t>
  </si>
  <si>
    <t>DX.</t>
  </si>
  <si>
    <t>ACHCARAY CCAMA HUGO</t>
  </si>
  <si>
    <t>N18.3</t>
  </si>
  <si>
    <t>AGUILAR PAREDES FILOMENA</t>
  </si>
  <si>
    <t>AGUIRRE SEGURA VALERIO</t>
  </si>
  <si>
    <t>ALANIA ISLA VICTOR</t>
  </si>
  <si>
    <t>ALARCON INFANZON RITA</t>
  </si>
  <si>
    <t>ALCOCER HINOSTROZA TEODOMIRA</t>
  </si>
  <si>
    <t>ALIAGA VILA BERTHA</t>
  </si>
  <si>
    <t>ALMONACID MIRANDA EDGAR</t>
  </si>
  <si>
    <t>ALVAREZ NEYRA JOSE</t>
  </si>
  <si>
    <t>AQUINO GONZALES JESUS</t>
  </si>
  <si>
    <t>oct</t>
  </si>
  <si>
    <t>AQUINO GUILLERMO VICTOR</t>
  </si>
  <si>
    <t>ARANA DE BACA MARIA</t>
  </si>
  <si>
    <t>ARANA GASTAÑODI CIRILO</t>
  </si>
  <si>
    <t>ARAUCO CHAVEZ WILFREDO</t>
  </si>
  <si>
    <t>abril</t>
  </si>
  <si>
    <t>ARAUCO PEINADO SALVADOR</t>
  </si>
  <si>
    <t>ARBOLEDA FACHO JUAN</t>
  </si>
  <si>
    <t>ARCE CARHUACUSMA CONSTANTIN</t>
  </si>
  <si>
    <t>ARIAS EGOAVIL MARCO</t>
  </si>
  <si>
    <t>ARRESCURRENAGA SOTO EDGARD</t>
  </si>
  <si>
    <t>ARROYO CARRANZA VICTOR</t>
  </si>
  <si>
    <t>ARTICA HUAYNARUPAY SIMEON</t>
  </si>
  <si>
    <t>ARZAPALO XXX VDA DE FRANCHI AURELIA</t>
  </si>
  <si>
    <t>oroya</t>
  </si>
  <si>
    <t>ATENCIO BALDEON MARY</t>
  </si>
  <si>
    <t>AVILA PARIONA MARLENI</t>
  </si>
  <si>
    <t>BACA DE PHILCO MERY</t>
  </si>
  <si>
    <t>BAQUERIZO GUTARRA ROLANDO</t>
  </si>
  <si>
    <t>BARRERA CAMPOS RUFINO</t>
  </si>
  <si>
    <t>BAZAN DE FALCON VICTORIA</t>
  </si>
  <si>
    <t>BELLIDO CANO JUAN</t>
  </si>
  <si>
    <t>BENAVIDES DE FUENTES CARMEN</t>
  </si>
  <si>
    <t>BIANCHI CUEVA FAUSTO</t>
  </si>
  <si>
    <t>marzo</t>
  </si>
  <si>
    <t>BISALAYA XXX DE BUENO JULIA</t>
  </si>
  <si>
    <t>BLANCAS VALERO MARIA</t>
  </si>
  <si>
    <t>BLANCO GUADALUPE FELICITA</t>
  </si>
  <si>
    <t>BLANCO ZEVALLOS ANIBAL</t>
  </si>
  <si>
    <t>BONELLI IRAMATEGUI MIGUEL</t>
  </si>
  <si>
    <t>BRAVO QUISPE PEDRO</t>
  </si>
  <si>
    <t>BUENDIA ALFARO YONNER</t>
  </si>
  <si>
    <t>BUENDIA DE URIBE CATALINA</t>
  </si>
  <si>
    <t>BULLON CARO ALFONSO</t>
  </si>
  <si>
    <t>BUSTAMANTE ALTEZ GLADIS</t>
  </si>
  <si>
    <t>BUSTILLOS ROJAS PATRICIA</t>
  </si>
  <si>
    <t>BUSTINZA MAMANI ELIZABETH</t>
  </si>
  <si>
    <t>CABALLERO GONZALES EDGARDO</t>
  </si>
  <si>
    <t>CABALLERO HUERE DOMINGO</t>
  </si>
  <si>
    <t>CABALLERO NIETO ZENAIDA</t>
  </si>
  <si>
    <t>CALDERON LIZARRAGA GEORGINA</t>
  </si>
  <si>
    <t>CALLUPE ATACHAGUA MESIAS</t>
  </si>
  <si>
    <t>CAMARGO ACOSTA BERTHA</t>
  </si>
  <si>
    <t>CAMPOS ALIAGA LUCIO</t>
  </si>
  <si>
    <t>CAMPOS DEL AGUILA MAGRIL</t>
  </si>
  <si>
    <t>CANESSA GALVAN JORGE</t>
  </si>
  <si>
    <t>CAP III MANTARO</t>
  </si>
  <si>
    <r>
      <t>CAÑARI FERNANDEZ MARLENI-</t>
    </r>
    <r>
      <rPr>
        <b/>
        <sz val="11"/>
        <color rgb="FFFF0000"/>
        <rFont val="Aptos Narrow"/>
        <family val="2"/>
        <scheme val="minor"/>
      </rPr>
      <t>seguim</t>
    </r>
  </si>
  <si>
    <t>CARDENAS GALVEZ HILDELICIO</t>
  </si>
  <si>
    <t>CARLOS MACHACUAY DE MORENO ROSA</t>
  </si>
  <si>
    <t>CARLOS SANCHEZ PEDRO</t>
  </si>
  <si>
    <t>CARRILLO ONOFRE JIMMY</t>
  </si>
  <si>
    <t>my</t>
  </si>
  <si>
    <t>CARRION CASTROMONTE LUCIO</t>
  </si>
  <si>
    <t>CARRION OCHOA FRANCISCO</t>
  </si>
  <si>
    <t>CASAÑO CHACHI CARLOS</t>
  </si>
  <si>
    <t>CASAS LARREA RONALD</t>
  </si>
  <si>
    <t>CASAVILCA DE LA CRUZ WALTER</t>
  </si>
  <si>
    <t>CASQUERO PIZARRO RUBEN</t>
  </si>
  <si>
    <t>CASTILLO DE OSORIO ESTELA</t>
  </si>
  <si>
    <t>CCANTO DE YALLI JUANA</t>
  </si>
  <si>
    <t>CERRON QUINTANILLA PEDRO</t>
  </si>
  <si>
    <t>CHACON CARLOS JUAN</t>
  </si>
  <si>
    <t>CHACON EGUSQUIZA DE REYNA HAYDEE</t>
  </si>
  <si>
    <t>CHANCA DE PARIONA VICTORIA</t>
  </si>
  <si>
    <t>CHAVEZ ALANIA JUAN</t>
  </si>
  <si>
    <t>CHAVEZ DELGADO BENEDICTO</t>
  </si>
  <si>
    <r>
      <t xml:space="preserve">CHAVEZ MARTINEZ RICARDO </t>
    </r>
    <r>
      <rPr>
        <b/>
        <sz val="11"/>
        <color rgb="FFFF0000"/>
        <rFont val="Aptos Narrow"/>
        <family val="2"/>
        <scheme val="minor"/>
      </rPr>
      <t>Dra. Cavero</t>
    </r>
  </si>
  <si>
    <r>
      <t xml:space="preserve">CHICMANA HUANAY JUAN </t>
    </r>
    <r>
      <rPr>
        <b/>
        <sz val="11"/>
        <color rgb="FFFF0000"/>
        <rFont val="Aptos Narrow"/>
        <family val="2"/>
        <scheme val="minor"/>
      </rPr>
      <t>Dr. Arellan</t>
    </r>
  </si>
  <si>
    <t>CHIHUAN MANANI ULCER</t>
  </si>
  <si>
    <r>
      <t xml:space="preserve">CHUQUILLANQUI ALIAGA ISAIAS </t>
    </r>
    <r>
      <rPr>
        <b/>
        <sz val="11"/>
        <color rgb="FFFF0000"/>
        <rFont val="Aptos Narrow"/>
        <family val="2"/>
        <scheme val="minor"/>
      </rPr>
      <t>c/3meses</t>
    </r>
  </si>
  <si>
    <t>COCHACHE MACHA ISAAC</t>
  </si>
  <si>
    <t>N18.4</t>
  </si>
  <si>
    <t>CONTRERAS SUASNABAR JUAN</t>
  </si>
  <si>
    <t>COQUEL MORALES EPIFANIO</t>
  </si>
  <si>
    <r>
      <t xml:space="preserve">CORDOVA GONZALES EMMA </t>
    </r>
    <r>
      <rPr>
        <b/>
        <sz val="11"/>
        <color rgb="FFFF0000"/>
        <rFont val="Aptos Narrow"/>
        <family val="2"/>
        <scheme val="minor"/>
      </rPr>
      <t>Dr. Cruzado</t>
    </r>
  </si>
  <si>
    <t>CORDOVA PALOMINO MIRYAM</t>
  </si>
  <si>
    <t>CORNEJO VELASQUEZ FREDY</t>
  </si>
  <si>
    <t>CORTEZ GARCIA CESAR</t>
  </si>
  <si>
    <r>
      <t xml:space="preserve">COTERA CASAS RUBEN - </t>
    </r>
    <r>
      <rPr>
        <b/>
        <sz val="11"/>
        <color rgb="FFFF0000"/>
        <rFont val="Aptos Narrow"/>
        <family val="2"/>
        <scheme val="minor"/>
      </rPr>
      <t>ONCOL</t>
    </r>
  </si>
  <si>
    <t>CRISPIN SOTACURO GREGORIA</t>
  </si>
  <si>
    <t>CRISTOBAL GOMEZ PEDRO</t>
  </si>
  <si>
    <t>CRISTOBAL SOLANO MANUEL</t>
  </si>
  <si>
    <t>CRUZ CAPCHA URSULA</t>
  </si>
  <si>
    <t>CURIÑAHUI MAXIMILIANO CRISOSTOMO</t>
  </si>
  <si>
    <t>DAVILA POSADAS REYNALDO</t>
  </si>
  <si>
    <t>DE LA CRUZ GALEAS DANIEL</t>
  </si>
  <si>
    <t>DE LA CRUZ MERA CARLOS</t>
  </si>
  <si>
    <t>DEL RIO ROJAS GILBERTO</t>
  </si>
  <si>
    <t>DIAZ CALDERON DE HERRERA ALICIA</t>
  </si>
  <si>
    <t>DIAZ SANCHEZ LUCIO</t>
  </si>
  <si>
    <t>DIEGO MALPARTIDA CONSTANTIN</t>
  </si>
  <si>
    <t>DURAN QUISPE MIGUEL</t>
  </si>
  <si>
    <t>EMMANUEL GRADOS CARLOS</t>
  </si>
  <si>
    <t>ENCISO DE QUINTANILLA MAXIMILIAN</t>
  </si>
  <si>
    <t>ENRIQUEZ TICLLACURI ESTEBAN</t>
  </si>
  <si>
    <t>HOSP. II HUANCAVELICA</t>
  </si>
  <si>
    <t>ESCOBAR VDA DE CUELLAR OLGA</t>
  </si>
  <si>
    <t>ESPEJO CONDE CLELIA</t>
  </si>
  <si>
    <t>ESPINAL DE AQUINO BERTHA</t>
  </si>
  <si>
    <t>ESPINOZA DE VILCAPOMA RICARDINA</t>
  </si>
  <si>
    <t>ESPINOZA DUEÑAS JENY</t>
  </si>
  <si>
    <t>ESPINOZA LEANDRO LUIS</t>
  </si>
  <si>
    <t>ESPIRITU DIAZ CARLOS</t>
  </si>
  <si>
    <t>ESPIRITU PANEZ MAXIMO</t>
  </si>
  <si>
    <t>ESTRADA COLCA IBACETO</t>
  </si>
  <si>
    <t>ESTRELLA MONTALVO JOHNATAN</t>
  </si>
  <si>
    <t>FASIL VILLAR DE SCHMIDT KETTY</t>
  </si>
  <si>
    <t>FELIX DE EGOAVIL ALEJANDRIN</t>
  </si>
  <si>
    <t>FERNANDEZ GAVILAN MARIO</t>
  </si>
  <si>
    <t>FERNANDEZ ZARATE LUIS</t>
  </si>
  <si>
    <t>FLORES LAZO AQUILA</t>
  </si>
  <si>
    <t>FLORES PARRAGA RODOLFO</t>
  </si>
  <si>
    <t>FLORES SOLDEVILLA MARILU</t>
  </si>
  <si>
    <t>FLORES SOTOMAYOR ARMANDO</t>
  </si>
  <si>
    <t>FUENTE DE LAZO ENNA</t>
  </si>
  <si>
    <t>FUJITA ALARCON LUIS</t>
  </si>
  <si>
    <t>GAGO SURICHAQUI RAUL</t>
  </si>
  <si>
    <t>GALARZA ROSAZZA OSCAR</t>
  </si>
  <si>
    <t>GAMARRA SANTIVAÑEZ ROLANDO</t>
  </si>
  <si>
    <t>GAMBOA SOTO MARINO</t>
  </si>
  <si>
    <t>GARAY GARAY FLORENCIO</t>
  </si>
  <si>
    <t>GARCIA XXX VDA DE YGNACIO ALEJANDRA</t>
  </si>
  <si>
    <t>GAVINO GOMEZ EUSEBIO</t>
  </si>
  <si>
    <t>GAVINO HINOSTROZA JUAN</t>
  </si>
  <si>
    <t>GONGORA MAURICIO IRENE</t>
  </si>
  <si>
    <t>GONZALES ESPINOZA GODOFREDO</t>
  </si>
  <si>
    <r>
      <t xml:space="preserve">GONZALEZ GÜERE NORAH </t>
    </r>
    <r>
      <rPr>
        <b/>
        <sz val="11"/>
        <color rgb="FFFF0000"/>
        <rFont val="Aptos Narrow"/>
        <family val="2"/>
        <scheme val="minor"/>
      </rPr>
      <t>Dr. Arellan</t>
    </r>
  </si>
  <si>
    <t>GONZALO AQUINO CALEB</t>
  </si>
  <si>
    <t>GUERRA ARROYO EMELESIO</t>
  </si>
  <si>
    <t>GUERRA DE MELGAREJO EMMA</t>
  </si>
  <si>
    <t>GUEVARA GARCIA BENIGNO</t>
  </si>
  <si>
    <t>GUEVARA HERRERA GERARDO</t>
  </si>
  <si>
    <t>GUILLEN VADILLO GABRIEL</t>
  </si>
  <si>
    <t>GUTARRA PEREZ JESUS</t>
  </si>
  <si>
    <t>GUTIERREZ DE RAMIREZ ANGELICA</t>
  </si>
  <si>
    <t>GUZMAN DE BRAÑEZ PRIMITIVA</t>
  </si>
  <si>
    <t>HERRERA GRANADOS ARISTIDES</t>
  </si>
  <si>
    <t>HERRERA ZORRILLA JUAN</t>
  </si>
  <si>
    <t>HILARIO TRUCIOS OSCAR</t>
  </si>
  <si>
    <t>HINOSTROZA SUAREZ JOHN</t>
  </si>
  <si>
    <t>HUAMAN ESPINOZA RITA</t>
  </si>
  <si>
    <t>HUAMAN HUAMANGUINO ROBERTO</t>
  </si>
  <si>
    <t>HUAMAN SALCEDO MARI</t>
  </si>
  <si>
    <t>HUAMAN SANCHEZ VICTOR</t>
  </si>
  <si>
    <t>HUARINGA DE MIRANDA PAULINA</t>
  </si>
  <si>
    <t>HUERTA CARDENAS NELIDA</t>
  </si>
  <si>
    <t>HUICHI VITALILLUS ALEJANDRO</t>
  </si>
  <si>
    <t>HUINCHO INGA CELESTINO</t>
  </si>
  <si>
    <t>IBAÑEZ MANRIQUE RUBEN</t>
  </si>
  <si>
    <t>IBAÑEZ ROBLES GLADYS</t>
  </si>
  <si>
    <t>ILIZARBE BENDEZU MARTA</t>
  </si>
  <si>
    <t>INDIGOYEN RAMIREZ DAVID</t>
  </si>
  <si>
    <t>JURADO LIBERATO JUAN</t>
  </si>
  <si>
    <t>LADERA BLANCAS PEDRO</t>
  </si>
  <si>
    <t>LADERA CHAVEZ DE LLACZA NELY</t>
  </si>
  <si>
    <t>LANDEO HUAMAN VDA DE OLIVER TEODOCIA</t>
  </si>
  <si>
    <t>LASTRA PUJAY FORTUNATO</t>
  </si>
  <si>
    <t>LAURA SOTO ABEL</t>
  </si>
  <si>
    <t>LEDESMA LEDESMA CARMEN</t>
  </si>
  <si>
    <t>LEON MEJIA HANS</t>
  </si>
  <si>
    <t xml:space="preserve">LEON ROJAS ESPERANZA </t>
  </si>
  <si>
    <t>LIMAYMANTA FLORES GERINO</t>
  </si>
  <si>
    <t>LINDO SOTO JUANA</t>
  </si>
  <si>
    <t>LIVANO HERRERA EPIFANIA</t>
  </si>
  <si>
    <t>LIZARME ALARCON CIRILO</t>
  </si>
  <si>
    <t>LIZARRAGA TOVAR ROLANDO</t>
  </si>
  <si>
    <t>LLACZA ATANACIO MANUEL</t>
  </si>
  <si>
    <t>LLACZA MEZA MANUEL</t>
  </si>
  <si>
    <t>LOPEZ BASILIO WALTER</t>
  </si>
  <si>
    <t>LUDEÑA DE CARRERA VICTORIA</t>
  </si>
  <si>
    <t>MACHE GASPAR MAURO</t>
  </si>
  <si>
    <t>MACHUCA PUENTE JESUS</t>
  </si>
  <si>
    <r>
      <rPr>
        <b/>
        <sz val="11"/>
        <rFont val="Aptos Narrow"/>
        <family val="2"/>
        <scheme val="minor"/>
      </rPr>
      <t>MADRID VARGAS JULIO</t>
    </r>
    <r>
      <rPr>
        <b/>
        <sz val="11"/>
        <color rgb="FFFF0000"/>
        <rFont val="Aptos Narrow"/>
        <family val="2"/>
        <scheme val="minor"/>
      </rPr>
      <t>-PADOMI</t>
    </r>
  </si>
  <si>
    <t>MALPARTIDA URIETA LEONARDO</t>
  </si>
  <si>
    <t>MARCOS ZEVALLOS SERGIO</t>
  </si>
  <si>
    <t>MARIN AILAS EFRAIN</t>
  </si>
  <si>
    <t>27y5marzo</t>
  </si>
  <si>
    <t>MARTEL ACOSTA MANUEL</t>
  </si>
  <si>
    <t>MARTICORENA DE GALVAN TEOFILA</t>
  </si>
  <si>
    <t>MARTINEZ DOLORIER EFRAIN</t>
  </si>
  <si>
    <t>MATEO DE CONDOR PASCUALA</t>
  </si>
  <si>
    <t>MATOS ASTURAY RAUL</t>
  </si>
  <si>
    <t>MATOS DURAN JORGE</t>
  </si>
  <si>
    <t>MATOS HUAROC ANTONIO</t>
  </si>
  <si>
    <t>MATOS PORRAS JUSTINA</t>
  </si>
  <si>
    <t>MEDINA COYPA JAVIER</t>
  </si>
  <si>
    <t>MELGAREJO ROJAS VICTOR</t>
  </si>
  <si>
    <t>MENDIZABAL PALOMINO NORMA</t>
  </si>
  <si>
    <t>MERINO RIVERA DIONICIO</t>
  </si>
  <si>
    <t>MESIA LOZANO DE LANASCA JUANA</t>
  </si>
  <si>
    <r>
      <t>MEZA BASALDUA ANDREA-</t>
    </r>
    <r>
      <rPr>
        <b/>
        <sz val="11"/>
        <color rgb="FFFF0000"/>
        <rFont val="Aptos Narrow"/>
        <family val="2"/>
        <scheme val="minor"/>
      </rPr>
      <t>ONCOL</t>
    </r>
  </si>
  <si>
    <t>MEZA DIAZ ROSIO</t>
  </si>
  <si>
    <t>MEZA SANCHEZ EMILIO</t>
  </si>
  <si>
    <t>MEZA SOTELO ESTEBAN</t>
  </si>
  <si>
    <t>MILLAN OTAROLA JULIO</t>
  </si>
  <si>
    <t>MIRANDA ASENCIOS CLIMACO</t>
  </si>
  <si>
    <t>MONTALVAN ROMERO FEDERICO</t>
  </si>
  <si>
    <t>MONTES HUAMAN OLGA</t>
  </si>
  <si>
    <t>MORALES DE PEREZ BENEDICTA</t>
  </si>
  <si>
    <t>MORALES VDA DE MEDINA ROSA</t>
  </si>
  <si>
    <t>MUCHA MUCHA BEATRIZ</t>
  </si>
  <si>
    <t>MULLER LOJA ANDJULY</t>
  </si>
  <si>
    <t>MUNGUIA DAMIAN EDMUNDO</t>
  </si>
  <si>
    <t>MUÑOZ GALLEGOS RAMON</t>
  </si>
  <si>
    <t>MUÑOZ GUTIERREZ ORCELINDA</t>
  </si>
  <si>
    <t>NAVARRO SALAZAR WASHINGTON</t>
  </si>
  <si>
    <t>NEGRON ZANABRIA NICOMEDES</t>
  </si>
  <si>
    <t>NIETO YACOLCA CARLOS</t>
  </si>
  <si>
    <t>NINAHUANCA TORRES FELIPE</t>
  </si>
  <si>
    <t>NINAMANGO RAMOS SAMUEL</t>
  </si>
  <si>
    <t>NUÑEZ IPARRAGUIRRE JESUS</t>
  </si>
  <si>
    <t>NUÑEZ ZUÑIGA ALEJANDRO</t>
  </si>
  <si>
    <t>ÑAÑA SORA METODIO</t>
  </si>
  <si>
    <t>OLAZO MARCELO JULIO</t>
  </si>
  <si>
    <t>OLIVAS FERNANDEZ ERCULANO</t>
  </si>
  <si>
    <t>ORCON ANGULO GLADYS</t>
  </si>
  <si>
    <t>ORE SARAPURA EUTEMIO</t>
  </si>
  <si>
    <t>ORIHUELA HUZCO ESTEBAN</t>
  </si>
  <si>
    <t>ORIHUELA LOZANO DE LEIVA GREGORIA</t>
  </si>
  <si>
    <t>OROSCO MACHACUAY MAURELIO</t>
  </si>
  <si>
    <t>OSNAYO DE CARHUAPOMA DOMINGA</t>
  </si>
  <si>
    <t>PACHECO CHAVARRIA ELEODORA</t>
  </si>
  <si>
    <t>PACHECO VEGA JUAN</t>
  </si>
  <si>
    <t>PACO RAMOS FABIAN</t>
  </si>
  <si>
    <t>PADILLA DELGADILLO CARMEN</t>
  </si>
  <si>
    <t>PALOMINO DE SOTO TEODOSIA</t>
  </si>
  <si>
    <t>PALOMINO VDA. DE CHANCA FELICIANA</t>
  </si>
  <si>
    <t>PANTA MOYA DE PERALTA SUSANA</t>
  </si>
  <si>
    <t>PAREDES HUANUCO TEOFILO</t>
  </si>
  <si>
    <t>PAREDEZ GARCIA PAULINA</t>
  </si>
  <si>
    <t>PARRA LIMAYLLA ISIDORO</t>
  </si>
  <si>
    <t>PASTOR ROCA BENIGNO</t>
  </si>
  <si>
    <t>PAUCAR CONTRERAS EMPERATRIZ</t>
  </si>
  <si>
    <t>PERALES MONTENEGRO DELIO</t>
  </si>
  <si>
    <t>PERALTA HERRERA EZEQUIEL</t>
  </si>
  <si>
    <t>PEREZ ANGULO ANGELICA</t>
  </si>
  <si>
    <t>PEREZ MARTINEZ OSCAR</t>
  </si>
  <si>
    <t>PIZARRO TEODORO IVAN</t>
  </si>
  <si>
    <t>POMA CORDOVA ERLINDA</t>
  </si>
  <si>
    <t>POMA DAVILA IGNACIO</t>
  </si>
  <si>
    <t>POMALAZA CASTRO ESTHER</t>
  </si>
  <si>
    <t>PONCE LOPEZ EDITH</t>
  </si>
  <si>
    <t>PORRAS DE VERASTEGUI ESTELA</t>
  </si>
  <si>
    <t>PORRAS PACHECO VICTOR</t>
  </si>
  <si>
    <t>POVES SIHUAY BETTY</t>
  </si>
  <si>
    <t>PRUDENCIO DE YALICO MAURICIA</t>
  </si>
  <si>
    <t>PUCHOC ROJAS FERMIN</t>
  </si>
  <si>
    <t>PURIS VDA. DE VASQUEZ EUTIQUIA</t>
  </si>
  <si>
    <t>QUIJADA FERNANDEZ SAMUEL</t>
  </si>
  <si>
    <t>QUINTANA VDA DE CAMARENA ESTHER</t>
  </si>
  <si>
    <t>QUINTANILLA BEDRIÑANA ROBERTO</t>
  </si>
  <si>
    <t>QUINTE AVILA FREDY</t>
  </si>
  <si>
    <t>QUISPE CAJAHUANCA CRISOSTOMO</t>
  </si>
  <si>
    <t>QUISPE CAMAYO CLUALDO</t>
  </si>
  <si>
    <t>QUISPE CHAVEZ OSBALDO</t>
  </si>
  <si>
    <t>QUISPE RIVEROS LEON</t>
  </si>
  <si>
    <t>QUISPIALAYA QUISPE EMILIANO</t>
  </si>
  <si>
    <t>RAMIREZ CRISTOBAL ZOSIMO</t>
  </si>
  <si>
    <t>RAMIREZ PERALTA LUIS</t>
  </si>
  <si>
    <t>RAMIREZ TOMAS TEODORO</t>
  </si>
  <si>
    <t>RAMIREZ VALERIO DACIANO</t>
  </si>
  <si>
    <t>RAMOS CANO JORGE</t>
  </si>
  <si>
    <t>RAMOS DE RIOS VICENTA</t>
  </si>
  <si>
    <t>RAMOS GAMARRA OSCAR</t>
  </si>
  <si>
    <t>RAMOS GARAGATTI CESAR</t>
  </si>
  <si>
    <t>RAMOS PORRAS LUCIO</t>
  </si>
  <si>
    <t>REYES MORA MARINO</t>
  </si>
  <si>
    <t>REYNA ARAUCO GUSTAVO</t>
  </si>
  <si>
    <t>RICALDI DE DOMINGUEZ TEODORA</t>
  </si>
  <si>
    <t>RICALDI HINOSTROZA JOAQUIN</t>
  </si>
  <si>
    <t>RICALDI RODRIGUEZ DE FERNAND ELIZABETH</t>
  </si>
  <si>
    <t>RIOS ORCON PEDRO</t>
  </si>
  <si>
    <t>RIVAS PORRAS OLGA</t>
  </si>
  <si>
    <t>ROBLADILLO CUBA JOSE</t>
  </si>
  <si>
    <t>ROBLADILLO MALLMA GERMAN</t>
  </si>
  <si>
    <t>ROBLES HEIDINGER FROILAN</t>
  </si>
  <si>
    <t>RODRIGUEZ CARHUANCHO IDER</t>
  </si>
  <si>
    <t>RODRIGUEZ CHAVEZ EDME</t>
  </si>
  <si>
    <t>RODRIGUEZ DE LOVERA ISABEL</t>
  </si>
  <si>
    <t>RODRIGUEZ LIZARRAGA MANUEL</t>
  </si>
  <si>
    <t>RODRIGUEZ MELGAR PONCIANO</t>
  </si>
  <si>
    <t>RODRIGUEZ SANCHEZ JULIO</t>
  </si>
  <si>
    <t>ROJAS ALVAREZ ELIAS</t>
  </si>
  <si>
    <t>ROJAS LUJAN PABLO</t>
  </si>
  <si>
    <t>ROJAS ROMERO CARLOS</t>
  </si>
  <si>
    <t>ROJAS SMITH JOSE</t>
  </si>
  <si>
    <t>ROMERO DE CERRON GLADYS</t>
  </si>
  <si>
    <t>ROMERO RODRIGUEZ NILDA</t>
  </si>
  <si>
    <t>RONDINEL BEDRIÑANA HERMINIA</t>
  </si>
  <si>
    <t>ROQUE BRAVO PETRONILA</t>
  </si>
  <si>
    <t>RUIZ RAMOS LUZ</t>
  </si>
  <si>
    <t>RUPAYLLA VDA. DE CAMARENA CLOTILDE</t>
  </si>
  <si>
    <t>SAAVEDRA BENDEZU GUILLERMO</t>
  </si>
  <si>
    <t>SALAZAR MERCADO VICTOR</t>
  </si>
  <si>
    <t>SALCEDO ESPINOZA SALVINA</t>
  </si>
  <si>
    <t>SALDAÑA ABAD DE RIVERA MAGDA</t>
  </si>
  <si>
    <t>SALDAÑA MEZA EUGENIA</t>
  </si>
  <si>
    <t>SALDAÑA VALLES DE CHAVEZ LAILY</t>
  </si>
  <si>
    <t>SALVATIERRA SAMANIEGO ANDRES</t>
  </si>
  <si>
    <t>SANABRIA SALCEDO ELMER</t>
  </si>
  <si>
    <t>SANCHEZ CANDIOTTI ROSA</t>
  </si>
  <si>
    <t>SANCHEZ GOYTENDIA VDA DE HOS DORA</t>
  </si>
  <si>
    <t>SANCHEZ HUANAY FLOVIA</t>
  </si>
  <si>
    <t>SANCHEZ POCOMUCHA AMADOR</t>
  </si>
  <si>
    <t>SANCHO AVILA OLGA</t>
  </si>
  <si>
    <t>SANTANA ACOSTA MAURO</t>
  </si>
  <si>
    <t>SANTIVAÑEZ CAMARGO KATYA</t>
  </si>
  <si>
    <t>SARMIENTO NEYRA PEDRO</t>
  </si>
  <si>
    <t>SARMIENTO VDA DE TUPAYACHI MARIA</t>
  </si>
  <si>
    <t>SEDANO BALBIN SUSANA</t>
  </si>
  <si>
    <t>SEDANO DE RODRIGUEZ ELVA</t>
  </si>
  <si>
    <t>SEGURA POMA EUGENIO</t>
  </si>
  <si>
    <t>SERPA OLANO VDA DE TOLEDO HILDA</t>
  </si>
  <si>
    <t>SIERRA RIVAS DINO</t>
  </si>
  <si>
    <t>SILVA BLANCO ANGEL</t>
  </si>
  <si>
    <t>SILVA ROMERO LUIS</t>
  </si>
  <si>
    <t>SING FERGUZON CARLOS</t>
  </si>
  <si>
    <t>SIU FERGUZON INES</t>
  </si>
  <si>
    <t>SIUCE ROMAN ALBERTO</t>
  </si>
  <si>
    <t>SOLIS GOMEZ TEOFANES</t>
  </si>
  <si>
    <t>SOLIS HUARI DE MARQUEZ ANDREA</t>
  </si>
  <si>
    <t>SOTO MUCHA MAURA</t>
  </si>
  <si>
    <t>SOTO PORRAS DE FERNANDEZ ROSA</t>
  </si>
  <si>
    <t>SOUZA RENDON ELIZABETH</t>
  </si>
  <si>
    <t>SUAREZ PACHECO JESUS</t>
  </si>
  <si>
    <t>SUAREZ SEGURA DORIS</t>
  </si>
  <si>
    <t>TAIPE QUINCHO MARCELO</t>
  </si>
  <si>
    <t>TAPIA DE ROMAN IDA</t>
  </si>
  <si>
    <t>TEJADA FARFAN EUGENIO</t>
  </si>
  <si>
    <t>TOMAS PAUCAR ISIDORO</t>
  </si>
  <si>
    <t>TORRES AVILA CARLOS</t>
  </si>
  <si>
    <t>TORRES CORONACION DELFIN</t>
  </si>
  <si>
    <t>TORRES FLORES ELVIN</t>
  </si>
  <si>
    <t>TORRES POMA HUGO</t>
  </si>
  <si>
    <t>TORRES VDA. DE PEÑA VILMA</t>
  </si>
  <si>
    <t>TORRES VILLAYZAN JULIO</t>
  </si>
  <si>
    <t>TOVAR OCHOA EMILIANO</t>
  </si>
  <si>
    <t>TREJO TRUJILLO VALENTINA</t>
  </si>
  <si>
    <t>TUPPIA GONZALES JOSE</t>
  </si>
  <si>
    <t>URBANO MEZA CLAUDIA</t>
  </si>
  <si>
    <t>URETA PAUCAR DE CHUCO VALERIANA</t>
  </si>
  <si>
    <t>VALENCIA SULLCA JAIME</t>
  </si>
  <si>
    <t>VALER MATOS RICARDA</t>
  </si>
  <si>
    <t>VALLE GUERUBICHT CLARISA</t>
  </si>
  <si>
    <t>VALVERDE DE CARDENAS ISIDORA</t>
  </si>
  <si>
    <t>VALVERDE MARAVI VDA DE LOPEZ ZELMIRA</t>
  </si>
  <si>
    <t>VARGAS VEGA JOSE</t>
  </si>
  <si>
    <t>VASQUEZ QUIÑONEZ JORGE</t>
  </si>
  <si>
    <t>VASQUEZ YURIVILCA WILFREDO</t>
  </si>
  <si>
    <t>VEGA HILARIO EDUARDO</t>
  </si>
  <si>
    <t>VELASQUEZ POMA ERIK</t>
  </si>
  <si>
    <t>VELIZ SANCHEZ GREGORIO</t>
  </si>
  <si>
    <t>VELIZ SARMIENTO VICTOR</t>
  </si>
  <si>
    <r>
      <t>VILCA PALACIOS ROBERTO-</t>
    </r>
    <r>
      <rPr>
        <b/>
        <sz val="11"/>
        <color rgb="FFFF0000"/>
        <rFont val="Aptos Narrow"/>
        <family val="2"/>
        <scheme val="minor"/>
      </rPr>
      <t>DP</t>
    </r>
  </si>
  <si>
    <t>VILCATOMA MONTES JULIA</t>
  </si>
  <si>
    <t>VILCHEZ CONDESO SANTIAGO</t>
  </si>
  <si>
    <t>VILLAGARCIA AQUISE LUIS</t>
  </si>
  <si>
    <t>YAURI ORIHUELA VALERIO</t>
  </si>
  <si>
    <t>YUPANQUI VIVAS ANDRES</t>
  </si>
  <si>
    <t>YUPARI POLO CERILO</t>
  </si>
  <si>
    <t>ZAPATA QUINTO ANIAS</t>
  </si>
  <si>
    <t>ZEVALLOS CRUZ GREGORIO</t>
  </si>
  <si>
    <t>ZUMAETA DELGADO JORGE</t>
  </si>
  <si>
    <t>ZUÑIGA SANTOS VALERIANO</t>
  </si>
  <si>
    <t>huari casimiro ricardo</t>
  </si>
  <si>
    <t>POLI. METROPOLITANO HUANCAYO</t>
  </si>
  <si>
    <t>ascarure espinal antonia</t>
  </si>
  <si>
    <t>diaz serrano claudio</t>
  </si>
  <si>
    <t>cap. Mantaro</t>
  </si>
  <si>
    <t>vilchez baquerizo miguel</t>
  </si>
  <si>
    <t>osorio castillo gregori</t>
  </si>
  <si>
    <t>buendia palma clever</t>
  </si>
  <si>
    <t>lazo trucios constantin</t>
  </si>
  <si>
    <t>pacheco echevarria eleodora</t>
  </si>
  <si>
    <t>CITA01</t>
  </si>
  <si>
    <t>CITA02</t>
  </si>
  <si>
    <t>CITA03</t>
  </si>
  <si>
    <t>CITA04</t>
  </si>
  <si>
    <t>DICIEMBRE</t>
  </si>
  <si>
    <t>OCTUBRE</t>
  </si>
  <si>
    <t>SEPTIEMBRE</t>
  </si>
  <si>
    <t>ABRIL</t>
  </si>
  <si>
    <t>JUNIO</t>
  </si>
  <si>
    <t>SIN CITA</t>
  </si>
  <si>
    <t xml:space="preserve">NOVIEMBRE </t>
  </si>
  <si>
    <t>MARZO</t>
  </si>
  <si>
    <t xml:space="preserve">DICIEMBRE </t>
  </si>
  <si>
    <t>MAYO</t>
  </si>
  <si>
    <t>ENERO</t>
  </si>
  <si>
    <t>AGOSTO</t>
  </si>
  <si>
    <t>JULIO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</si>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</sst>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1" fillId="0" borderId="1" xfId="0" applyNumberFormat="1" applyFont="1" applyBorder="1"/>
    <xf numFmtId="0" fontId="2" fillId="0" borderId="1" xfId="0" applyFont="1" applyBorder="1"/>
    <xf numFmtId="16" fontId="2" fillId="0" borderId="1" xfId="0" applyNumberFormat="1" applyFont="1" applyBorder="1"/>
    <xf numFmtId="16" fontId="4" fillId="0" borderId="1" xfId="0" applyNumberFormat="1" applyFont="1" applyBorder="1"/>
    <xf numFmtId="0" fontId="5" fillId="0" borderId="1" xfId="0" applyFont="1" applyBorder="1"/>
    <xf numFmtId="16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16" fontId="5" fillId="0" borderId="1" xfId="0" applyNumberFormat="1" applyFont="1" applyBorder="1"/>
    <xf numFmtId="0" fontId="0" fillId="0" borderId="2" xfId="0" applyBorder="1"/>
    <xf numFmtId="0" fontId="5" fillId="0" borderId="2" xfId="0" applyFont="1" applyBorder="1"/>
    <xf numFmtId="0" fontId="1" fillId="0" borderId="2" xfId="0" applyFont="1" applyBorder="1"/>
    <xf numFmtId="0" fontId="4" fillId="0" borderId="1" xfId="0" applyFont="1" applyBorder="1" applyAlignment="1">
      <alignment horizontal="center"/>
    </xf>
    <xf numFmtId="16" fontId="6" fillId="0" borderId="1" xfId="0" applyNumberFormat="1" applyFont="1" applyBorder="1"/>
    <xf numFmtId="16" fontId="6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_mis%20doc/_ESTAD/_P%20TAB/_2025/cons/Producci&#243;n/consoli/Consolidado%20de%20Atenciones%20Enero%20a%20Juni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REPORTE"/>
      <sheetName val="Hoja4"/>
      <sheetName val="Hoja2"/>
      <sheetName val="policl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COD</v>
          </cell>
          <cell r="C1" t="str">
            <v>PO_NPOLIC</v>
          </cell>
        </row>
        <row r="2">
          <cell r="B2">
            <v>1</v>
          </cell>
          <cell r="C2" t="str">
            <v>H. N. EDGARDO REBAGLIATI M</v>
          </cell>
        </row>
        <row r="3">
          <cell r="B3">
            <v>2</v>
          </cell>
          <cell r="C3" t="str">
            <v>H. N. GUILLERMO ALMENARA I</v>
          </cell>
        </row>
        <row r="4">
          <cell r="B4">
            <v>3</v>
          </cell>
          <cell r="C4" t="str">
            <v>H. N. CARLOS SEGUIN ESCOBEDO</v>
          </cell>
        </row>
        <row r="5">
          <cell r="B5">
            <v>4</v>
          </cell>
          <cell r="C5" t="str">
            <v>H. N. ALMANZOR AGUINAGA</v>
          </cell>
        </row>
        <row r="6">
          <cell r="B6">
            <v>5</v>
          </cell>
          <cell r="C6" t="str">
            <v>H. N. ALBERTO SABOGAL</v>
          </cell>
        </row>
        <row r="7">
          <cell r="B7">
            <v>6</v>
          </cell>
          <cell r="C7" t="str">
            <v>HOSP. II ANGAMOS</v>
          </cell>
        </row>
        <row r="8">
          <cell r="B8">
            <v>7</v>
          </cell>
          <cell r="C8" t="str">
            <v>HOSP. III EMERGENCIAS GRAU</v>
          </cell>
        </row>
        <row r="9">
          <cell r="B9">
            <v>8</v>
          </cell>
          <cell r="C9" t="str">
            <v>HOSP. II VITARTE</v>
          </cell>
        </row>
        <row r="10">
          <cell r="B10">
            <v>9</v>
          </cell>
          <cell r="C10" t="str">
            <v>POLI. CANTO GRANDE (AHORA 406)</v>
          </cell>
        </row>
        <row r="11">
          <cell r="B11">
            <v>10</v>
          </cell>
          <cell r="C11" t="str">
            <v>POLI. CHINCHA</v>
          </cell>
        </row>
        <row r="12">
          <cell r="B12">
            <v>11</v>
          </cell>
          <cell r="C12" t="str">
            <v>POLI. CHOSICA</v>
          </cell>
        </row>
        <row r="13">
          <cell r="B13">
            <v>12</v>
          </cell>
          <cell r="C13" t="str">
            <v>POLI. SANTA ROSA   (AHORA 410)</v>
          </cell>
        </row>
        <row r="14">
          <cell r="B14">
            <v>13</v>
          </cell>
          <cell r="C14" t="str">
            <v>POLI. FIORI</v>
          </cell>
        </row>
        <row r="15">
          <cell r="B15">
            <v>14</v>
          </cell>
          <cell r="C15" t="str">
            <v>POLI. FRANCISCO PIZARRO</v>
          </cell>
        </row>
        <row r="16">
          <cell r="B16">
            <v>15</v>
          </cell>
          <cell r="C16" t="str">
            <v>HOSP. II LIMA NORTE-CALLAO LUI</v>
          </cell>
        </row>
        <row r="17">
          <cell r="B17">
            <v>16</v>
          </cell>
          <cell r="C17" t="str">
            <v>POLI. PROCERES</v>
          </cell>
        </row>
        <row r="18">
          <cell r="B18">
            <v>17</v>
          </cell>
          <cell r="C18" t="str">
            <v>POLI. MARISCAL R.CASTILLA</v>
          </cell>
        </row>
        <row r="19">
          <cell r="B19">
            <v>18</v>
          </cell>
          <cell r="C19" t="str">
            <v>POLI. VILLA MARIA</v>
          </cell>
        </row>
        <row r="20">
          <cell r="B20">
            <v>19</v>
          </cell>
          <cell r="C20" t="str">
            <v>C. M. ANCIJE</v>
          </cell>
        </row>
        <row r="21">
          <cell r="B21">
            <v>20</v>
          </cell>
          <cell r="C21" t="str">
            <v>C. M. CASAPALCA</v>
          </cell>
        </row>
        <row r="22">
          <cell r="B22">
            <v>21</v>
          </cell>
          <cell r="C22" t="str">
            <v>POLI. PABLO BERMUDEZ</v>
          </cell>
        </row>
        <row r="23">
          <cell r="B23">
            <v>22</v>
          </cell>
          <cell r="C23" t="str">
            <v>P. M. A.MORENO DE C.(AHORA 409</v>
          </cell>
        </row>
        <row r="24">
          <cell r="B24">
            <v>23</v>
          </cell>
          <cell r="C24" t="str">
            <v>P. M. CONSTRUCCION CIVIL</v>
          </cell>
        </row>
        <row r="25">
          <cell r="B25">
            <v>24</v>
          </cell>
          <cell r="C25" t="str">
            <v>P. M. Donofrio</v>
          </cell>
        </row>
        <row r="26">
          <cell r="B26">
            <v>25</v>
          </cell>
          <cell r="C26" t="str">
            <v>P. M. PALACIO DE JUSTICIA</v>
          </cell>
        </row>
        <row r="27">
          <cell r="B27">
            <v>26</v>
          </cell>
          <cell r="C27" t="str">
            <v>P. M. PIEDRA PARADA</v>
          </cell>
        </row>
        <row r="28">
          <cell r="B28">
            <v>27</v>
          </cell>
          <cell r="C28" t="str">
            <v>P. M. TAMBORAQUE</v>
          </cell>
        </row>
        <row r="29">
          <cell r="B29">
            <v>28</v>
          </cell>
          <cell r="C29" t="str">
            <v>HOSP. II GUSTAVO LANATTA L.</v>
          </cell>
        </row>
        <row r="30">
          <cell r="B30">
            <v>29</v>
          </cell>
          <cell r="C30" t="str">
            <v>POLI. PEDRO REYES B.</v>
          </cell>
        </row>
        <row r="31">
          <cell r="B31">
            <v>30</v>
          </cell>
          <cell r="C31" t="str">
            <v>P. M. PARAMONGA</v>
          </cell>
        </row>
        <row r="32">
          <cell r="B32">
            <v>31</v>
          </cell>
          <cell r="C32" t="str">
            <v>CAP II CHANCAY</v>
          </cell>
        </row>
        <row r="33">
          <cell r="B33">
            <v>32</v>
          </cell>
          <cell r="C33" t="str">
            <v>P. M. HUARAL</v>
          </cell>
        </row>
        <row r="34">
          <cell r="B34">
            <v>33</v>
          </cell>
          <cell r="C34" t="str">
            <v>P. M. HUMALLA</v>
          </cell>
        </row>
        <row r="35">
          <cell r="B35">
            <v>34</v>
          </cell>
          <cell r="C35" t="str">
            <v>P. M. LAS SALINAS</v>
          </cell>
        </row>
        <row r="36">
          <cell r="B36">
            <v>35</v>
          </cell>
          <cell r="C36" t="str">
            <v>P. M. RAURA</v>
          </cell>
        </row>
        <row r="37">
          <cell r="B37">
            <v>36</v>
          </cell>
          <cell r="C37" t="str">
            <v>P. M. SAYAN</v>
          </cell>
        </row>
        <row r="38">
          <cell r="B38">
            <v>37</v>
          </cell>
          <cell r="C38" t="str">
            <v>P. M. OYON</v>
          </cell>
        </row>
        <row r="39">
          <cell r="B39">
            <v>38</v>
          </cell>
          <cell r="C39" t="str">
            <v>HOSP. II CAÑETE</v>
          </cell>
        </row>
        <row r="40">
          <cell r="B40">
            <v>39</v>
          </cell>
          <cell r="C40" t="str">
            <v>C. M. MALA</v>
          </cell>
        </row>
        <row r="41">
          <cell r="B41">
            <v>40</v>
          </cell>
          <cell r="C41" t="str">
            <v>P. M. CERRO ALEGRE</v>
          </cell>
        </row>
        <row r="42">
          <cell r="B42">
            <v>41</v>
          </cell>
          <cell r="C42" t="str">
            <v>P. M. SAN ISIDRO</v>
          </cell>
        </row>
        <row r="43">
          <cell r="B43">
            <v>42</v>
          </cell>
          <cell r="C43" t="str">
            <v>P. M. LA QUEBRADA</v>
          </cell>
        </row>
        <row r="44">
          <cell r="B44">
            <v>43</v>
          </cell>
          <cell r="C44" t="str">
            <v>P. M. CERRO AZUL</v>
          </cell>
        </row>
        <row r="45">
          <cell r="B45">
            <v>44</v>
          </cell>
          <cell r="C45" t="str">
            <v>P. M. MINA CONDESTABLE</v>
          </cell>
        </row>
        <row r="46">
          <cell r="B46">
            <v>45</v>
          </cell>
          <cell r="C46" t="str">
            <v>HOSP. III FELIX TORREALVA G.</v>
          </cell>
        </row>
        <row r="47">
          <cell r="B47">
            <v>46</v>
          </cell>
          <cell r="C47" t="str">
            <v>HOSP. II RENE TOCHE GROPPO</v>
          </cell>
        </row>
        <row r="48">
          <cell r="B48">
            <v>47</v>
          </cell>
          <cell r="C48" t="str">
            <v>HOSP. I MARIA REICHE N.</v>
          </cell>
        </row>
        <row r="49">
          <cell r="B49">
            <v>48</v>
          </cell>
          <cell r="C49" t="str">
            <v>HOSP. I ANTONIO SKRABONJA A.</v>
          </cell>
        </row>
        <row r="50">
          <cell r="B50">
            <v>49</v>
          </cell>
          <cell r="C50" t="str">
            <v>POLI. MATIAS MANZANILLA</v>
          </cell>
        </row>
        <row r="51">
          <cell r="B51">
            <v>50</v>
          </cell>
          <cell r="C51" t="str">
            <v>P. M. CHAVALINA</v>
          </cell>
        </row>
        <row r="52">
          <cell r="B52">
            <v>51</v>
          </cell>
          <cell r="C52" t="str">
            <v>P. M. LA ISLA</v>
          </cell>
        </row>
        <row r="53">
          <cell r="B53">
            <v>52</v>
          </cell>
          <cell r="C53" t="str">
            <v>P. M. MACACONA</v>
          </cell>
        </row>
        <row r="54">
          <cell r="B54">
            <v>53</v>
          </cell>
          <cell r="C54" t="str">
            <v>P. M. NAZCA</v>
          </cell>
        </row>
        <row r="55">
          <cell r="B55">
            <v>54</v>
          </cell>
          <cell r="C55" t="str">
            <v>P. M. PALPA</v>
          </cell>
        </row>
        <row r="56">
          <cell r="B56">
            <v>55</v>
          </cell>
          <cell r="C56" t="str">
            <v>P. M. POLIMOVIL</v>
          </cell>
        </row>
        <row r="57">
          <cell r="B57">
            <v>56</v>
          </cell>
          <cell r="C57" t="str">
            <v>CAP II PUQUIO</v>
          </cell>
        </row>
        <row r="58">
          <cell r="B58">
            <v>57</v>
          </cell>
          <cell r="C58" t="str">
            <v>P. M. SAN CLEMENTE</v>
          </cell>
        </row>
        <row r="59">
          <cell r="B59">
            <v>58</v>
          </cell>
          <cell r="C59" t="str">
            <v>C. M. SANTA MARGARITA</v>
          </cell>
        </row>
        <row r="60">
          <cell r="B60">
            <v>59</v>
          </cell>
          <cell r="C60" t="str">
            <v>P. M. TAMBO DE MORA</v>
          </cell>
        </row>
        <row r="61">
          <cell r="B61">
            <v>60</v>
          </cell>
          <cell r="C61" t="str">
            <v>P. M. TRAPICHE</v>
          </cell>
        </row>
        <row r="62">
          <cell r="B62">
            <v>61</v>
          </cell>
          <cell r="C62" t="str">
            <v>P. M. VILLA TUPAC AMARU</v>
          </cell>
        </row>
        <row r="63">
          <cell r="B63">
            <v>62</v>
          </cell>
          <cell r="C63" t="str">
            <v>HOSP. III IQUITOS</v>
          </cell>
        </row>
        <row r="64">
          <cell r="B64">
            <v>63</v>
          </cell>
          <cell r="C64" t="str">
            <v>CAP III YURIMAGUAS</v>
          </cell>
        </row>
        <row r="65">
          <cell r="B65">
            <v>64</v>
          </cell>
          <cell r="C65" t="str">
            <v>CAP II CABALLOCOCHA</v>
          </cell>
        </row>
        <row r="66">
          <cell r="B66">
            <v>65</v>
          </cell>
          <cell r="C66" t="str">
            <v>CAP II NAUTA</v>
          </cell>
        </row>
        <row r="67">
          <cell r="B67">
            <v>66</v>
          </cell>
          <cell r="C67" t="str">
            <v>CAP II REQUENA</v>
          </cell>
        </row>
        <row r="68">
          <cell r="B68">
            <v>67</v>
          </cell>
          <cell r="C68" t="str">
            <v>HOSP. II ABANCAY</v>
          </cell>
        </row>
        <row r="69">
          <cell r="B69">
            <v>68</v>
          </cell>
          <cell r="C69" t="str">
            <v>HOSP. I ANDAHUAYLAS</v>
          </cell>
        </row>
        <row r="70">
          <cell r="B70">
            <v>69</v>
          </cell>
          <cell r="C70" t="str">
            <v>P. M. CURAHUASI</v>
          </cell>
        </row>
        <row r="71">
          <cell r="B71">
            <v>70</v>
          </cell>
          <cell r="C71" t="str">
            <v>P. M. CHALHUANCA</v>
          </cell>
        </row>
        <row r="72">
          <cell r="B72">
            <v>71</v>
          </cell>
          <cell r="C72" t="str">
            <v>P. M. CHUQUIBAMBILLA</v>
          </cell>
        </row>
        <row r="73">
          <cell r="B73">
            <v>72</v>
          </cell>
          <cell r="C73" t="str">
            <v>CAP II CHINCHEROS</v>
          </cell>
        </row>
        <row r="74">
          <cell r="B74">
            <v>73</v>
          </cell>
          <cell r="C74" t="str">
            <v>P. M. UNIVERSIDAD</v>
          </cell>
        </row>
        <row r="75">
          <cell r="B75">
            <v>74</v>
          </cell>
          <cell r="C75" t="str">
            <v>HOSP. II MOLLENDO</v>
          </cell>
        </row>
        <row r="76">
          <cell r="B76">
            <v>75</v>
          </cell>
          <cell r="C76" t="str">
            <v>HOSP. I SAMUEL PASTOR</v>
          </cell>
        </row>
        <row r="77">
          <cell r="B77">
            <v>76</v>
          </cell>
          <cell r="C77" t="str">
            <v>HOSP. III YANAHUARA</v>
          </cell>
        </row>
        <row r="78">
          <cell r="B78">
            <v>77</v>
          </cell>
          <cell r="C78" t="str">
            <v>POLI. METROPOLITANO</v>
          </cell>
        </row>
        <row r="79">
          <cell r="B79">
            <v>78</v>
          </cell>
          <cell r="C79" t="str">
            <v>C. M. APIMA</v>
          </cell>
        </row>
        <row r="80">
          <cell r="B80">
            <v>79</v>
          </cell>
          <cell r="C80" t="str">
            <v>HOSP. I EDMUNDO ESCOMEL</v>
          </cell>
        </row>
        <row r="81">
          <cell r="B81">
            <v>80</v>
          </cell>
          <cell r="C81" t="str">
            <v>C. M. MELITON SALAS</v>
          </cell>
        </row>
        <row r="82">
          <cell r="B82">
            <v>81</v>
          </cell>
          <cell r="C82" t="str">
            <v>C. M. SAN CAMILO</v>
          </cell>
        </row>
        <row r="83">
          <cell r="B83">
            <v>82</v>
          </cell>
          <cell r="C83" t="str">
            <v>P. M. ACARI</v>
          </cell>
        </row>
        <row r="84">
          <cell r="B84">
            <v>83</v>
          </cell>
          <cell r="C84" t="str">
            <v>P. M. APLAO</v>
          </cell>
        </row>
        <row r="85">
          <cell r="B85">
            <v>84</v>
          </cell>
          <cell r="C85" t="str">
            <v>P. M. ATICO</v>
          </cell>
        </row>
        <row r="86">
          <cell r="B86">
            <v>85</v>
          </cell>
          <cell r="C86" t="str">
            <v>P. M. CARAVELI</v>
          </cell>
        </row>
        <row r="87">
          <cell r="B87">
            <v>86</v>
          </cell>
          <cell r="C87" t="str">
            <v>P. M. CHALA</v>
          </cell>
        </row>
        <row r="88">
          <cell r="B88">
            <v>87</v>
          </cell>
          <cell r="C88" t="str">
            <v>P. M. CHIVAY</v>
          </cell>
        </row>
        <row r="89">
          <cell r="B89">
            <v>88</v>
          </cell>
          <cell r="C89" t="str">
            <v>P. M. CHUCARAPI</v>
          </cell>
        </row>
        <row r="90">
          <cell r="B90">
            <v>89</v>
          </cell>
          <cell r="C90" t="str">
            <v>P. M. CHUQUIBAMBA</v>
          </cell>
        </row>
        <row r="91">
          <cell r="B91">
            <v>90</v>
          </cell>
          <cell r="C91" t="str">
            <v>P. M. CONO NORTE</v>
          </cell>
        </row>
        <row r="92">
          <cell r="B92">
            <v>91</v>
          </cell>
          <cell r="C92" t="str">
            <v>P. M. CORIRE</v>
          </cell>
        </row>
        <row r="93">
          <cell r="B93">
            <v>92</v>
          </cell>
          <cell r="C93" t="str">
            <v>P. M. COTAHUASI</v>
          </cell>
        </row>
        <row r="94">
          <cell r="B94">
            <v>93</v>
          </cell>
          <cell r="C94" t="str">
            <v>P. M. HUAYCO LETICIA</v>
          </cell>
        </row>
        <row r="95">
          <cell r="B95">
            <v>94</v>
          </cell>
          <cell r="C95" t="str">
            <v>P. M. HUNTER</v>
          </cell>
        </row>
        <row r="96">
          <cell r="B96">
            <v>95</v>
          </cell>
          <cell r="C96" t="str">
            <v>P. M. LA JOYA</v>
          </cell>
        </row>
        <row r="97">
          <cell r="B97">
            <v>96</v>
          </cell>
          <cell r="C97" t="str">
            <v>P. M. MATARANI</v>
          </cell>
        </row>
        <row r="98">
          <cell r="B98">
            <v>97</v>
          </cell>
          <cell r="C98" t="str">
            <v>P. M. PEDREGAL</v>
          </cell>
        </row>
        <row r="99">
          <cell r="B99">
            <v>98</v>
          </cell>
          <cell r="C99" t="str">
            <v>P. M. SABANDIA</v>
          </cell>
        </row>
        <row r="100">
          <cell r="B100">
            <v>99</v>
          </cell>
          <cell r="C100" t="str">
            <v>P. M. SANTA RITA</v>
          </cell>
        </row>
        <row r="101">
          <cell r="B101">
            <v>100</v>
          </cell>
          <cell r="C101" t="str">
            <v>P. M. VITOR</v>
          </cell>
        </row>
        <row r="102">
          <cell r="B102">
            <v>101</v>
          </cell>
          <cell r="C102" t="str">
            <v>P. M. YURA</v>
          </cell>
        </row>
        <row r="103">
          <cell r="B103">
            <v>102</v>
          </cell>
          <cell r="C103" t="str">
            <v>HOSP. II HUAMANGA</v>
          </cell>
        </row>
        <row r="104">
          <cell r="B104">
            <v>103</v>
          </cell>
          <cell r="C104" t="str">
            <v>P. M. HUANTA</v>
          </cell>
        </row>
        <row r="105">
          <cell r="B105">
            <v>104</v>
          </cell>
          <cell r="C105" t="str">
            <v>P. M. SAN MIGUEL</v>
          </cell>
        </row>
        <row r="106">
          <cell r="B106">
            <v>105</v>
          </cell>
          <cell r="C106" t="str">
            <v>P. M. CANGALLO</v>
          </cell>
        </row>
        <row r="107">
          <cell r="B107">
            <v>106</v>
          </cell>
          <cell r="C107" t="str">
            <v>P. M. HUAMANGA</v>
          </cell>
        </row>
        <row r="108">
          <cell r="B108">
            <v>107</v>
          </cell>
          <cell r="C108" t="str">
            <v>P. M. POLICLINICO MOVIL</v>
          </cell>
        </row>
        <row r="109">
          <cell r="B109">
            <v>108</v>
          </cell>
          <cell r="C109" t="str">
            <v>P. M. PUTACCA</v>
          </cell>
        </row>
        <row r="110">
          <cell r="B110">
            <v>109</v>
          </cell>
          <cell r="C110" t="str">
            <v>P. M. SAN FRANCISCO</v>
          </cell>
        </row>
        <row r="111">
          <cell r="B111">
            <v>110</v>
          </cell>
          <cell r="C111" t="str">
            <v>P. M. VILCASHUAMAN</v>
          </cell>
        </row>
        <row r="112">
          <cell r="B112">
            <v>111</v>
          </cell>
          <cell r="C112" t="str">
            <v>H. N. SUR ESTE</v>
          </cell>
        </row>
        <row r="113">
          <cell r="B113">
            <v>112</v>
          </cell>
          <cell r="C113" t="str">
            <v>HOSP. I ESPINAR</v>
          </cell>
        </row>
        <row r="114">
          <cell r="B114">
            <v>113</v>
          </cell>
          <cell r="C114" t="str">
            <v>HOSP. I QUILLABAMBA</v>
          </cell>
        </row>
        <row r="115">
          <cell r="B115">
            <v>114</v>
          </cell>
          <cell r="C115" t="str">
            <v>HOSP. I URUBAMBA</v>
          </cell>
        </row>
        <row r="116">
          <cell r="B116">
            <v>115</v>
          </cell>
          <cell r="C116" t="str">
            <v>POL. SICUANI</v>
          </cell>
        </row>
        <row r="117">
          <cell r="B117">
            <v>116</v>
          </cell>
          <cell r="C117" t="str">
            <v>C. M. ACOMAYO</v>
          </cell>
        </row>
        <row r="118">
          <cell r="B118">
            <v>117</v>
          </cell>
          <cell r="C118" t="str">
            <v>C. M. CACHIMAYO</v>
          </cell>
        </row>
        <row r="119">
          <cell r="B119">
            <v>118</v>
          </cell>
          <cell r="C119" t="str">
            <v>C. M. CALCA</v>
          </cell>
        </row>
        <row r="120">
          <cell r="B120">
            <v>119</v>
          </cell>
          <cell r="C120" t="str">
            <v>C. M. URCOS</v>
          </cell>
        </row>
        <row r="121">
          <cell r="B121">
            <v>120</v>
          </cell>
          <cell r="C121" t="str">
            <v>P. M. HUYRO</v>
          </cell>
        </row>
        <row r="122">
          <cell r="B122">
            <v>121</v>
          </cell>
          <cell r="C122" t="str">
            <v>C. M. MACHUPICCHU</v>
          </cell>
        </row>
        <row r="123">
          <cell r="B123">
            <v>122</v>
          </cell>
          <cell r="C123" t="str">
            <v>P. M. PAMPA CALASAYA</v>
          </cell>
        </row>
        <row r="124">
          <cell r="B124">
            <v>123</v>
          </cell>
          <cell r="C124" t="str">
            <v>C. M. PAUCARTAMBO</v>
          </cell>
        </row>
        <row r="125">
          <cell r="B125">
            <v>124</v>
          </cell>
          <cell r="C125" t="str">
            <v>P. M. PODER JUDICIAL</v>
          </cell>
        </row>
        <row r="126">
          <cell r="B126">
            <v>125</v>
          </cell>
          <cell r="C126" t="str">
            <v>C. M. RECOLETA</v>
          </cell>
        </row>
        <row r="127">
          <cell r="B127">
            <v>126</v>
          </cell>
          <cell r="C127" t="str">
            <v>P. M. SAN SEBASTIAN</v>
          </cell>
        </row>
        <row r="128">
          <cell r="B128">
            <v>127</v>
          </cell>
          <cell r="C128" t="str">
            <v>HOSP. I PTO. MALDONADO</v>
          </cell>
        </row>
        <row r="129">
          <cell r="B129">
            <v>128</v>
          </cell>
          <cell r="C129" t="str">
            <v>P. M. EMID</v>
          </cell>
        </row>
        <row r="130">
          <cell r="B130">
            <v>129</v>
          </cell>
          <cell r="C130" t="str">
            <v>P. M. IBERIA</v>
          </cell>
        </row>
        <row r="131">
          <cell r="B131">
            <v>130</v>
          </cell>
          <cell r="C131" t="str">
            <v>P. M. IÑAPARI</v>
          </cell>
        </row>
        <row r="132">
          <cell r="B132">
            <v>131</v>
          </cell>
          <cell r="C132" t="str">
            <v>P. M. LABERINTO</v>
          </cell>
        </row>
        <row r="133">
          <cell r="B133">
            <v>132</v>
          </cell>
          <cell r="C133" t="str">
            <v>P. M. MAZUKO</v>
          </cell>
        </row>
        <row r="134">
          <cell r="B134">
            <v>133</v>
          </cell>
          <cell r="C134" t="str">
            <v>P. M. PLANCHON</v>
          </cell>
        </row>
        <row r="135">
          <cell r="B135">
            <v>134</v>
          </cell>
          <cell r="C135" t="str">
            <v>P. M. SALVACION</v>
          </cell>
        </row>
        <row r="136">
          <cell r="B136">
            <v>135</v>
          </cell>
          <cell r="C136" t="str">
            <v>HOSP. II ILO</v>
          </cell>
        </row>
        <row r="137">
          <cell r="B137">
            <v>136</v>
          </cell>
          <cell r="C137" t="str">
            <v>HOSP. II MOQUEGUA</v>
          </cell>
        </row>
        <row r="138">
          <cell r="B138">
            <v>137</v>
          </cell>
          <cell r="C138" t="str">
            <v>P. M. OMATE</v>
          </cell>
        </row>
        <row r="139">
          <cell r="B139">
            <v>138</v>
          </cell>
          <cell r="C139" t="str">
            <v>P. M. SANTA FORTUNA</v>
          </cell>
        </row>
        <row r="140">
          <cell r="B140">
            <v>139</v>
          </cell>
          <cell r="C140" t="str">
            <v>HOSP. III JULIACA</v>
          </cell>
        </row>
        <row r="141">
          <cell r="B141">
            <v>140</v>
          </cell>
          <cell r="C141" t="str">
            <v>HOSP. III PUNO</v>
          </cell>
        </row>
        <row r="142">
          <cell r="B142">
            <v>141</v>
          </cell>
          <cell r="C142" t="str">
            <v>HOSP. I LAMPA</v>
          </cell>
        </row>
        <row r="143">
          <cell r="B143">
            <v>142</v>
          </cell>
          <cell r="C143" t="str">
            <v>P. M. AYAVIRI</v>
          </cell>
        </row>
        <row r="144">
          <cell r="B144">
            <v>143</v>
          </cell>
          <cell r="C144" t="str">
            <v>POLI. AZANGARO</v>
          </cell>
        </row>
        <row r="145">
          <cell r="B145">
            <v>144</v>
          </cell>
          <cell r="C145" t="str">
            <v>P. M. HUANCANE</v>
          </cell>
        </row>
        <row r="146">
          <cell r="B146">
            <v>145</v>
          </cell>
          <cell r="C146" t="str">
            <v>P. M. JULI</v>
          </cell>
        </row>
        <row r="147">
          <cell r="B147">
            <v>146</v>
          </cell>
          <cell r="C147" t="str">
            <v>P. M. SAN RAFAEL</v>
          </cell>
        </row>
        <row r="148">
          <cell r="B148">
            <v>147</v>
          </cell>
          <cell r="C148" t="str">
            <v>P. M. SANDIA</v>
          </cell>
        </row>
        <row r="149">
          <cell r="B149">
            <v>148</v>
          </cell>
          <cell r="C149" t="str">
            <v>P. M. YUNGUYO</v>
          </cell>
        </row>
        <row r="150">
          <cell r="B150">
            <v>149</v>
          </cell>
          <cell r="C150" t="str">
            <v>HOSP. III DANIEL ALCIDES CARRI</v>
          </cell>
        </row>
        <row r="151">
          <cell r="B151">
            <v>150</v>
          </cell>
          <cell r="C151" t="str">
            <v>HOSP. I CONO SUR</v>
          </cell>
        </row>
        <row r="152">
          <cell r="B152">
            <v>151</v>
          </cell>
          <cell r="C152" t="str">
            <v>P. M. LOCUMBA</v>
          </cell>
        </row>
        <row r="153">
          <cell r="B153">
            <v>152</v>
          </cell>
          <cell r="C153" t="str">
            <v>P. M. TARATA</v>
          </cell>
        </row>
        <row r="154">
          <cell r="B154">
            <v>153</v>
          </cell>
          <cell r="C154" t="str">
            <v>HOSP. I EL BUEN SAMARITANO</v>
          </cell>
        </row>
        <row r="155">
          <cell r="B155">
            <v>154</v>
          </cell>
          <cell r="C155" t="str">
            <v>HOSP. I HEROES DEL CENEPA</v>
          </cell>
        </row>
        <row r="156">
          <cell r="B156">
            <v>155</v>
          </cell>
          <cell r="C156" t="str">
            <v>HOSP. I CHACHAPOYAS</v>
          </cell>
        </row>
        <row r="157">
          <cell r="B157">
            <v>156</v>
          </cell>
          <cell r="C157" t="str">
            <v>P. M. LAMUD</v>
          </cell>
        </row>
        <row r="158">
          <cell r="B158">
            <v>157</v>
          </cell>
          <cell r="C158" t="str">
            <v>P. M. LONYA GRANDE</v>
          </cell>
        </row>
        <row r="159">
          <cell r="B159">
            <v>158</v>
          </cell>
          <cell r="C159" t="str">
            <v>P. M. OCALLI</v>
          </cell>
        </row>
        <row r="160">
          <cell r="B160">
            <v>159</v>
          </cell>
          <cell r="C160" t="str">
            <v>P. M. PEDRO RUIZ</v>
          </cell>
        </row>
        <row r="161">
          <cell r="B161">
            <v>160</v>
          </cell>
          <cell r="C161" t="str">
            <v>P. M. RODRIGUEZ DE MENDOZA</v>
          </cell>
        </row>
        <row r="162">
          <cell r="B162">
            <v>161</v>
          </cell>
          <cell r="C162" t="str">
            <v>HOSP. III CHIMBOTE</v>
          </cell>
        </row>
        <row r="163">
          <cell r="B163">
            <v>162</v>
          </cell>
          <cell r="C163" t="str">
            <v>HOSP. II HUARAZ</v>
          </cell>
        </row>
        <row r="164">
          <cell r="B164">
            <v>163</v>
          </cell>
          <cell r="C164" t="str">
            <v>C. M. CARAZ</v>
          </cell>
        </row>
        <row r="165">
          <cell r="B165">
            <v>164</v>
          </cell>
          <cell r="C165" t="str">
            <v>C. M. CARHUAZ</v>
          </cell>
        </row>
        <row r="166">
          <cell r="B166">
            <v>165</v>
          </cell>
          <cell r="C166" t="str">
            <v>C. M. CASMA</v>
          </cell>
        </row>
        <row r="167">
          <cell r="B167">
            <v>166</v>
          </cell>
          <cell r="C167" t="str">
            <v>C. M. COISHCO</v>
          </cell>
        </row>
        <row r="168">
          <cell r="B168">
            <v>167</v>
          </cell>
          <cell r="C168" t="str">
            <v>HOSP. I CONO SUR</v>
          </cell>
        </row>
        <row r="169">
          <cell r="B169">
            <v>168</v>
          </cell>
          <cell r="C169" t="str">
            <v>C. M. HUARI</v>
          </cell>
        </row>
        <row r="170">
          <cell r="B170">
            <v>169</v>
          </cell>
          <cell r="C170" t="str">
            <v>C. M. HUARMEY</v>
          </cell>
        </row>
        <row r="171">
          <cell r="B171">
            <v>170</v>
          </cell>
          <cell r="C171" t="str">
            <v>C. M. SIHUAS</v>
          </cell>
        </row>
        <row r="172">
          <cell r="B172">
            <v>171</v>
          </cell>
          <cell r="C172" t="str">
            <v>P. M. CABANA</v>
          </cell>
        </row>
        <row r="173">
          <cell r="B173">
            <v>172</v>
          </cell>
          <cell r="C173" t="str">
            <v>P. M. CAMBIO PUENTE</v>
          </cell>
        </row>
        <row r="174">
          <cell r="B174">
            <v>173</v>
          </cell>
          <cell r="C174" t="str">
            <v>P. M. CAROLINA</v>
          </cell>
        </row>
        <row r="175">
          <cell r="B175">
            <v>174</v>
          </cell>
          <cell r="C175" t="str">
            <v>P. M. COISHCO</v>
          </cell>
        </row>
        <row r="176">
          <cell r="B176">
            <v>175</v>
          </cell>
          <cell r="C176" t="str">
            <v>P. M. CONCHUCOS</v>
          </cell>
        </row>
        <row r="177">
          <cell r="B177">
            <v>176</v>
          </cell>
          <cell r="C177" t="str">
            <v>P. M. CONSERVERA</v>
          </cell>
        </row>
        <row r="178">
          <cell r="B178">
            <v>177</v>
          </cell>
          <cell r="C178" t="str">
            <v>P. M. FISHING</v>
          </cell>
        </row>
        <row r="179">
          <cell r="B179">
            <v>178</v>
          </cell>
          <cell r="C179" t="str">
            <v>P. M. PAMPAS</v>
          </cell>
        </row>
        <row r="180">
          <cell r="B180">
            <v>179</v>
          </cell>
          <cell r="C180" t="str">
            <v>P. M. PISCOBAMBA</v>
          </cell>
        </row>
        <row r="181">
          <cell r="B181">
            <v>180</v>
          </cell>
          <cell r="C181" t="str">
            <v>P. M. PESCAPERU</v>
          </cell>
        </row>
        <row r="182">
          <cell r="B182">
            <v>181</v>
          </cell>
          <cell r="C182" t="str">
            <v>P. M. POMABAMBA</v>
          </cell>
        </row>
        <row r="183">
          <cell r="B183">
            <v>182</v>
          </cell>
          <cell r="C183" t="str">
            <v>P. M. QUICHES</v>
          </cell>
        </row>
        <row r="184">
          <cell r="B184">
            <v>183</v>
          </cell>
          <cell r="C184" t="str">
            <v>P. M. RINCONADA</v>
          </cell>
        </row>
        <row r="185">
          <cell r="B185">
            <v>184</v>
          </cell>
          <cell r="C185" t="str">
            <v>P. M. SAMANCO</v>
          </cell>
        </row>
        <row r="186">
          <cell r="B186">
            <v>185</v>
          </cell>
          <cell r="C186" t="str">
            <v>P. M. SAN JACINTO</v>
          </cell>
        </row>
        <row r="187">
          <cell r="B187">
            <v>186</v>
          </cell>
          <cell r="C187" t="str">
            <v>P. M. SARIMON</v>
          </cell>
        </row>
        <row r="188">
          <cell r="B188">
            <v>187</v>
          </cell>
          <cell r="C188" t="str">
            <v>P. M. SIDER PERU</v>
          </cell>
        </row>
        <row r="189">
          <cell r="B189">
            <v>188</v>
          </cell>
          <cell r="C189" t="str">
            <v>P. M. SIMA</v>
          </cell>
        </row>
        <row r="190">
          <cell r="B190">
            <v>189</v>
          </cell>
          <cell r="C190" t="str">
            <v>P. M. TAURO</v>
          </cell>
        </row>
        <row r="191">
          <cell r="B191">
            <v>190</v>
          </cell>
          <cell r="C191" t="str">
            <v>P. M. YUNGAY</v>
          </cell>
        </row>
        <row r="192">
          <cell r="B192">
            <v>191</v>
          </cell>
          <cell r="C192" t="str">
            <v>HOSP. II CAJAMARCA</v>
          </cell>
        </row>
        <row r="193">
          <cell r="B193">
            <v>192</v>
          </cell>
          <cell r="C193" t="str">
            <v>C. M. CAJABAMBA</v>
          </cell>
        </row>
        <row r="194">
          <cell r="B194">
            <v>193</v>
          </cell>
          <cell r="C194" t="str">
            <v>C. M. CELENDIN</v>
          </cell>
        </row>
        <row r="195">
          <cell r="B195">
            <v>194</v>
          </cell>
          <cell r="C195" t="str">
            <v>C. M. CHOTA</v>
          </cell>
        </row>
        <row r="196">
          <cell r="B196">
            <v>195</v>
          </cell>
          <cell r="C196" t="str">
            <v>C. M. CUTERVO</v>
          </cell>
        </row>
        <row r="197">
          <cell r="B197">
            <v>196</v>
          </cell>
          <cell r="C197" t="str">
            <v>P. M. BAMBAMARCA</v>
          </cell>
        </row>
        <row r="198">
          <cell r="B198">
            <v>197</v>
          </cell>
          <cell r="C198" t="str">
            <v>P. M. CLINICA MOVIL</v>
          </cell>
        </row>
        <row r="199">
          <cell r="B199">
            <v>198</v>
          </cell>
          <cell r="C199" t="str">
            <v>P. M. CONTUMAZA</v>
          </cell>
        </row>
        <row r="200">
          <cell r="B200">
            <v>199</v>
          </cell>
          <cell r="C200" t="str">
            <v>P. M. HUALGAYOC</v>
          </cell>
        </row>
        <row r="201">
          <cell r="B201">
            <v>200</v>
          </cell>
          <cell r="C201" t="str">
            <v>P. M. ICHOCAN</v>
          </cell>
        </row>
        <row r="202">
          <cell r="B202">
            <v>201</v>
          </cell>
          <cell r="C202" t="str">
            <v>P. M. SAN MARCOS</v>
          </cell>
        </row>
        <row r="203">
          <cell r="B203">
            <v>202</v>
          </cell>
          <cell r="C203" t="str">
            <v>P. M. SAN MIGUEL</v>
          </cell>
        </row>
        <row r="204">
          <cell r="B204">
            <v>203</v>
          </cell>
          <cell r="C204" t="str">
            <v>P. M. SAN PABLO</v>
          </cell>
        </row>
        <row r="205">
          <cell r="B205">
            <v>204</v>
          </cell>
          <cell r="C205" t="str">
            <v>P. M. TEMBLADERA</v>
          </cell>
        </row>
        <row r="206">
          <cell r="B206">
            <v>205</v>
          </cell>
          <cell r="C206" t="str">
            <v>H. N. VICTOR LAZARTE</v>
          </cell>
        </row>
        <row r="207">
          <cell r="B207">
            <v>206</v>
          </cell>
          <cell r="C207" t="str">
            <v>HOSP. II CHOCOPE</v>
          </cell>
        </row>
        <row r="208">
          <cell r="B208">
            <v>207</v>
          </cell>
          <cell r="C208" t="str">
            <v>HOSP. I ALBRECHT</v>
          </cell>
        </row>
        <row r="209">
          <cell r="B209">
            <v>208</v>
          </cell>
          <cell r="C209" t="str">
            <v>POLI. PACASMAYO</v>
          </cell>
        </row>
        <row r="210">
          <cell r="B210">
            <v>209</v>
          </cell>
          <cell r="C210" t="str">
            <v>C. M. ASCOPE</v>
          </cell>
        </row>
        <row r="211">
          <cell r="B211">
            <v>210</v>
          </cell>
          <cell r="C211" t="str">
            <v>POLI. EL PORVENIR</v>
          </cell>
        </row>
        <row r="212">
          <cell r="B212">
            <v>211</v>
          </cell>
          <cell r="C212" t="str">
            <v>HOSP. I FLORENCIA DE MORA</v>
          </cell>
        </row>
        <row r="213">
          <cell r="B213">
            <v>212</v>
          </cell>
          <cell r="C213" t="str">
            <v>C. M. LA ESPERANZA</v>
          </cell>
        </row>
        <row r="214">
          <cell r="B214">
            <v>213</v>
          </cell>
          <cell r="C214" t="str">
            <v>C. M. MOCHE</v>
          </cell>
        </row>
        <row r="215">
          <cell r="B215">
            <v>214</v>
          </cell>
          <cell r="C215" t="str">
            <v>P. M. ALTO SALAVERRY</v>
          </cell>
        </row>
        <row r="216">
          <cell r="B216">
            <v>215</v>
          </cell>
          <cell r="C216" t="str">
            <v>P. M. BARRAZA</v>
          </cell>
        </row>
        <row r="217">
          <cell r="B217">
            <v>216</v>
          </cell>
          <cell r="C217" t="str">
            <v>P. M. BOLIVAR</v>
          </cell>
        </row>
        <row r="218">
          <cell r="B218">
            <v>217</v>
          </cell>
          <cell r="C218" t="str">
            <v>P. M. CASAGRANDE</v>
          </cell>
        </row>
        <row r="219">
          <cell r="B219">
            <v>218</v>
          </cell>
          <cell r="C219" t="str">
            <v>P. M. CARTAVIO</v>
          </cell>
        </row>
        <row r="220">
          <cell r="B220">
            <v>219</v>
          </cell>
          <cell r="C220" t="str">
            <v>P. M. CASCAS</v>
          </cell>
        </row>
        <row r="221">
          <cell r="B221">
            <v>220</v>
          </cell>
          <cell r="C221" t="str">
            <v>P. M. CHICAMA</v>
          </cell>
        </row>
        <row r="222">
          <cell r="B222">
            <v>221</v>
          </cell>
          <cell r="C222" t="str">
            <v>P. M. CHICLIN</v>
          </cell>
        </row>
        <row r="223">
          <cell r="B223">
            <v>222</v>
          </cell>
          <cell r="C223" t="str">
            <v>P. M. CHIQUITOY</v>
          </cell>
        </row>
        <row r="224">
          <cell r="B224">
            <v>223</v>
          </cell>
          <cell r="C224" t="str">
            <v>P. M. GUADALUPE</v>
          </cell>
        </row>
        <row r="225">
          <cell r="B225">
            <v>224</v>
          </cell>
          <cell r="C225" t="str">
            <v>P. M. HUAMACHUCO</v>
          </cell>
        </row>
        <row r="226">
          <cell r="B226">
            <v>225</v>
          </cell>
          <cell r="C226" t="str">
            <v>P. M. JEQUETEPEQUE</v>
          </cell>
        </row>
        <row r="227">
          <cell r="B227">
            <v>226</v>
          </cell>
          <cell r="C227" t="str">
            <v>P. M. LAREDO</v>
          </cell>
        </row>
        <row r="228">
          <cell r="B228">
            <v>227</v>
          </cell>
          <cell r="C228" t="str">
            <v>P. M. LIMONCARRO</v>
          </cell>
        </row>
        <row r="229">
          <cell r="B229">
            <v>228</v>
          </cell>
          <cell r="C229" t="str">
            <v>P. M. MALABRIGO</v>
          </cell>
        </row>
        <row r="230">
          <cell r="B230">
            <v>229</v>
          </cell>
          <cell r="C230" t="str">
            <v>P. M. OTUZCO</v>
          </cell>
        </row>
        <row r="231">
          <cell r="B231">
            <v>230</v>
          </cell>
          <cell r="C231" t="str">
            <v>P. M. QUIRUVILCA</v>
          </cell>
        </row>
        <row r="232">
          <cell r="B232">
            <v>231</v>
          </cell>
          <cell r="C232" t="str">
            <v>P. M. SALAVERRY</v>
          </cell>
        </row>
        <row r="233">
          <cell r="B233">
            <v>232</v>
          </cell>
          <cell r="C233" t="str">
            <v>P. M. SAMNE</v>
          </cell>
        </row>
        <row r="234">
          <cell r="B234">
            <v>233</v>
          </cell>
          <cell r="C234" t="str">
            <v>P. M. SAN JOSE</v>
          </cell>
        </row>
        <row r="235">
          <cell r="B235">
            <v>234</v>
          </cell>
          <cell r="C235" t="str">
            <v>P. M. SAN JOSE DE MOCHE</v>
          </cell>
        </row>
        <row r="236">
          <cell r="B236">
            <v>235</v>
          </cell>
          <cell r="C236" t="str">
            <v>P. M. SAN PEDRO DE LLOC</v>
          </cell>
        </row>
        <row r="237">
          <cell r="B237">
            <v>236</v>
          </cell>
          <cell r="C237" t="str">
            <v>P. M. SANTIAGO DE CHUCO</v>
          </cell>
        </row>
        <row r="238">
          <cell r="B238">
            <v>237</v>
          </cell>
          <cell r="C238" t="str">
            <v>P. M. SAUSAL</v>
          </cell>
        </row>
        <row r="239">
          <cell r="B239">
            <v>238</v>
          </cell>
          <cell r="C239" t="str">
            <v>P. M. SAYAPULLO</v>
          </cell>
        </row>
        <row r="240">
          <cell r="B240">
            <v>239</v>
          </cell>
          <cell r="C240" t="str">
            <v>P. M. SOLEDAD-RETAMA</v>
          </cell>
        </row>
        <row r="241">
          <cell r="B241">
            <v>240</v>
          </cell>
          <cell r="C241" t="str">
            <v>P. M. TAYABAMBA</v>
          </cell>
        </row>
        <row r="242">
          <cell r="B242">
            <v>241</v>
          </cell>
          <cell r="C242" t="str">
            <v>P. M. VIRU</v>
          </cell>
        </row>
        <row r="243">
          <cell r="B243">
            <v>242</v>
          </cell>
          <cell r="C243" t="str">
            <v>HOSP. I A.ARBULU NEYRA</v>
          </cell>
        </row>
        <row r="244">
          <cell r="B244">
            <v>243</v>
          </cell>
          <cell r="C244" t="str">
            <v>C. M. CAYALTI</v>
          </cell>
        </row>
        <row r="245">
          <cell r="B245">
            <v>244</v>
          </cell>
          <cell r="C245" t="str">
            <v>HOSP I CHEPEN</v>
          </cell>
        </row>
        <row r="246">
          <cell r="B246">
            <v>245</v>
          </cell>
          <cell r="C246" t="str">
            <v>HOSP II JAEN</v>
          </cell>
        </row>
        <row r="247">
          <cell r="B247">
            <v>246</v>
          </cell>
          <cell r="C247" t="str">
            <v>C. M. LA VICTORIA</v>
          </cell>
        </row>
        <row r="248">
          <cell r="B248">
            <v>247</v>
          </cell>
          <cell r="C248" t="str">
            <v>C. M. LAMBAYEQUE</v>
          </cell>
        </row>
        <row r="249">
          <cell r="B249">
            <v>248</v>
          </cell>
          <cell r="C249" t="str">
            <v>POLI. M.MANRIQUE N.(L.ORTIZ)</v>
          </cell>
        </row>
        <row r="250">
          <cell r="B250">
            <v>249</v>
          </cell>
          <cell r="C250" t="str">
            <v>P. M. CHONGOYAPE</v>
          </cell>
        </row>
        <row r="251">
          <cell r="B251">
            <v>250</v>
          </cell>
          <cell r="C251" t="str">
            <v>C. M. JUAN AITA VALLE</v>
          </cell>
        </row>
        <row r="252">
          <cell r="B252">
            <v>251</v>
          </cell>
          <cell r="C252" t="str">
            <v>P. M. JAYANCA</v>
          </cell>
        </row>
        <row r="253">
          <cell r="B253">
            <v>252</v>
          </cell>
          <cell r="C253" t="str">
            <v>P. M. MOTUPE</v>
          </cell>
        </row>
        <row r="254">
          <cell r="B254">
            <v>253</v>
          </cell>
          <cell r="C254" t="str">
            <v>P. M. OLMOS</v>
          </cell>
        </row>
        <row r="255">
          <cell r="B255">
            <v>254</v>
          </cell>
          <cell r="C255" t="str">
            <v>P. M. OYOTUN</v>
          </cell>
        </row>
        <row r="256">
          <cell r="B256">
            <v>255</v>
          </cell>
          <cell r="C256" t="str">
            <v>P. M. PUCARA</v>
          </cell>
        </row>
        <row r="257">
          <cell r="B257">
            <v>256</v>
          </cell>
          <cell r="C257" t="str">
            <v>P. M. SAN IGNACIO</v>
          </cell>
        </row>
        <row r="258">
          <cell r="B258">
            <v>257</v>
          </cell>
          <cell r="C258" t="str">
            <v>P. M. SANTA CRUZ</v>
          </cell>
        </row>
        <row r="259">
          <cell r="B259">
            <v>258</v>
          </cell>
          <cell r="C259" t="str">
            <v>P. M. P.SOCIALES</v>
          </cell>
        </row>
        <row r="260">
          <cell r="B260">
            <v>259</v>
          </cell>
          <cell r="C260" t="str">
            <v>P. M. TUCUME</v>
          </cell>
        </row>
        <row r="261">
          <cell r="B261">
            <v>260</v>
          </cell>
          <cell r="C261" t="str">
            <v>P. M. UCUPE RAFAN</v>
          </cell>
        </row>
        <row r="262">
          <cell r="B262">
            <v>261</v>
          </cell>
          <cell r="C262" t="str">
            <v>HOSP. III CAYETANO HEREDIA</v>
          </cell>
        </row>
        <row r="263">
          <cell r="B263">
            <v>262</v>
          </cell>
          <cell r="C263" t="str">
            <v>HOSP. I PAITA</v>
          </cell>
        </row>
        <row r="264">
          <cell r="B264">
            <v>263</v>
          </cell>
          <cell r="C264" t="str">
            <v>HOSP. I SULLANA</v>
          </cell>
        </row>
        <row r="265">
          <cell r="B265">
            <v>264</v>
          </cell>
          <cell r="C265" t="str">
            <v>HOSP. II TALARA</v>
          </cell>
        </row>
        <row r="266">
          <cell r="B266">
            <v>265</v>
          </cell>
          <cell r="C266" t="str">
            <v>HOSP. II JORGE REATEGUI</v>
          </cell>
        </row>
        <row r="267">
          <cell r="B267">
            <v>266</v>
          </cell>
          <cell r="C267" t="str">
            <v>C. M. CASTILLA</v>
          </cell>
        </row>
        <row r="268">
          <cell r="B268">
            <v>267</v>
          </cell>
          <cell r="C268" t="str">
            <v>P. M. AYABACA</v>
          </cell>
        </row>
        <row r="269">
          <cell r="B269">
            <v>268</v>
          </cell>
          <cell r="C269" t="str">
            <v>P. M. CANCHAQUE</v>
          </cell>
        </row>
        <row r="270">
          <cell r="B270">
            <v>269</v>
          </cell>
          <cell r="C270" t="str">
            <v>P. M. CHULUCANAS</v>
          </cell>
        </row>
        <row r="271">
          <cell r="B271">
            <v>270</v>
          </cell>
          <cell r="C271" t="str">
            <v>P. M. CLINICA MOVIL</v>
          </cell>
        </row>
        <row r="272">
          <cell r="B272">
            <v>271</v>
          </cell>
          <cell r="C272" t="str">
            <v>P. M. HUANCABAMBA</v>
          </cell>
        </row>
        <row r="273">
          <cell r="B273">
            <v>272</v>
          </cell>
          <cell r="C273" t="str">
            <v>P. M. IGNACIO ESCUDERO</v>
          </cell>
        </row>
        <row r="274">
          <cell r="B274">
            <v>273</v>
          </cell>
          <cell r="C274" t="str">
            <v>P. M. LA UNION</v>
          </cell>
        </row>
        <row r="275">
          <cell r="B275">
            <v>274</v>
          </cell>
          <cell r="C275" t="str">
            <v>P. M. LOS ORGANOS</v>
          </cell>
        </row>
        <row r="276">
          <cell r="B276">
            <v>275</v>
          </cell>
          <cell r="C276" t="str">
            <v>P. M. MORROPON</v>
          </cell>
        </row>
        <row r="277">
          <cell r="B277">
            <v>276</v>
          </cell>
          <cell r="C277" t="str">
            <v>P. M. NEGRITOS</v>
          </cell>
        </row>
        <row r="278">
          <cell r="B278">
            <v>277</v>
          </cell>
          <cell r="C278" t="str">
            <v>P. M. SECHURA</v>
          </cell>
        </row>
        <row r="279">
          <cell r="B279">
            <v>278</v>
          </cell>
          <cell r="C279" t="str">
            <v>P. M. TAMBO GRANDE</v>
          </cell>
        </row>
        <row r="280">
          <cell r="B280">
            <v>279</v>
          </cell>
          <cell r="C280" t="str">
            <v>HOSP. II TARAPOTO</v>
          </cell>
        </row>
        <row r="281">
          <cell r="B281">
            <v>280</v>
          </cell>
          <cell r="C281" t="str">
            <v>HOSP. I JUANJUI</v>
          </cell>
        </row>
        <row r="282">
          <cell r="B282">
            <v>281</v>
          </cell>
          <cell r="C282" t="str">
            <v>HOSP. I MOYOBAMBA</v>
          </cell>
        </row>
        <row r="283">
          <cell r="B283">
            <v>282</v>
          </cell>
          <cell r="C283" t="str">
            <v>HOSP. I RIOJA</v>
          </cell>
        </row>
        <row r="284">
          <cell r="B284">
            <v>283</v>
          </cell>
          <cell r="C284" t="str">
            <v>C. M. MOYOBAMBA</v>
          </cell>
        </row>
        <row r="285">
          <cell r="B285">
            <v>284</v>
          </cell>
          <cell r="C285" t="str">
            <v>C. M. TARAPOTO</v>
          </cell>
        </row>
        <row r="286">
          <cell r="B286">
            <v>285</v>
          </cell>
          <cell r="C286" t="str">
            <v>P. M. BELLAVISTA</v>
          </cell>
        </row>
        <row r="287">
          <cell r="B287">
            <v>286</v>
          </cell>
          <cell r="C287" t="str">
            <v>P. M. LAMAS</v>
          </cell>
        </row>
        <row r="288">
          <cell r="B288">
            <v>287</v>
          </cell>
          <cell r="C288" t="str">
            <v>P. M. NUEVA CAJAMARCA</v>
          </cell>
        </row>
        <row r="289">
          <cell r="B289">
            <v>288</v>
          </cell>
          <cell r="C289" t="str">
            <v>C. M. RIOJA</v>
          </cell>
        </row>
        <row r="290">
          <cell r="B290">
            <v>289</v>
          </cell>
          <cell r="C290" t="str">
            <v>P. M. SAPOSOA</v>
          </cell>
        </row>
        <row r="291">
          <cell r="B291">
            <v>290</v>
          </cell>
          <cell r="C291" t="str">
            <v>P. M. TOCACHE</v>
          </cell>
        </row>
        <row r="292">
          <cell r="B292">
            <v>291</v>
          </cell>
          <cell r="C292" t="str">
            <v>P. M. UCHIZA</v>
          </cell>
        </row>
        <row r="293">
          <cell r="B293">
            <v>292</v>
          </cell>
          <cell r="C293" t="str">
            <v>HOSP. I TUMBES</v>
          </cell>
        </row>
        <row r="294">
          <cell r="B294">
            <v>293</v>
          </cell>
          <cell r="C294" t="str">
            <v>P. M. LA CRUZ</v>
          </cell>
        </row>
        <row r="295">
          <cell r="B295">
            <v>294</v>
          </cell>
          <cell r="C295" t="str">
            <v>P. M. ZORRITOS</v>
          </cell>
        </row>
        <row r="296">
          <cell r="B296">
            <v>295</v>
          </cell>
          <cell r="C296" t="str">
            <v>P. M. UNIDAD MOVIL</v>
          </cell>
        </row>
        <row r="297">
          <cell r="B297">
            <v>296</v>
          </cell>
          <cell r="C297" t="str">
            <v>HOSP. II HUANUCO</v>
          </cell>
        </row>
        <row r="298">
          <cell r="B298">
            <v>297</v>
          </cell>
          <cell r="C298" t="str">
            <v>HOSP. I TINGO MARIA</v>
          </cell>
        </row>
        <row r="299">
          <cell r="B299">
            <v>298</v>
          </cell>
          <cell r="C299" t="str">
            <v>C. M. LEONCIO PLADO - AMBO</v>
          </cell>
        </row>
        <row r="300">
          <cell r="B300">
            <v>299</v>
          </cell>
          <cell r="C300" t="str">
            <v>P. M. AUCAYACU</v>
          </cell>
        </row>
        <row r="301">
          <cell r="B301">
            <v>300</v>
          </cell>
          <cell r="C301" t="str">
            <v>P. M. BAÑOS</v>
          </cell>
        </row>
        <row r="302">
          <cell r="B302">
            <v>301</v>
          </cell>
          <cell r="C302" t="str">
            <v>P. M. HUARIN</v>
          </cell>
        </row>
        <row r="303">
          <cell r="B303">
            <v>302</v>
          </cell>
          <cell r="C303" t="str">
            <v>P. M. INCA SUNGARO</v>
          </cell>
        </row>
        <row r="304">
          <cell r="B304">
            <v>303</v>
          </cell>
          <cell r="C304" t="str">
            <v>P. M. LA UNION</v>
          </cell>
        </row>
        <row r="305">
          <cell r="B305">
            <v>304</v>
          </cell>
          <cell r="C305" t="str">
            <v>P. M. LLATA</v>
          </cell>
        </row>
        <row r="306">
          <cell r="B306">
            <v>305</v>
          </cell>
          <cell r="C306" t="str">
            <v>P. M. PANAO</v>
          </cell>
        </row>
        <row r="307">
          <cell r="B307">
            <v>306</v>
          </cell>
          <cell r="C307" t="str">
            <v>P. M. VICHAYCOTO</v>
          </cell>
        </row>
        <row r="308">
          <cell r="B308">
            <v>307</v>
          </cell>
          <cell r="C308" t="str">
            <v>H. N. RAMIRO PRIALE PRIALE</v>
          </cell>
        </row>
        <row r="309">
          <cell r="B309">
            <v>308</v>
          </cell>
          <cell r="C309" t="str">
            <v>HOSP. II LA OROYA</v>
          </cell>
        </row>
        <row r="310">
          <cell r="B310">
            <v>309</v>
          </cell>
          <cell r="C310" t="str">
            <v>HOSP. I RIO NEGRO - SATIPO</v>
          </cell>
        </row>
        <row r="311">
          <cell r="B311">
            <v>310</v>
          </cell>
          <cell r="C311" t="str">
            <v>HOSP. I TARMA</v>
          </cell>
        </row>
        <row r="312">
          <cell r="B312">
            <v>311</v>
          </cell>
          <cell r="C312" t="str">
            <v>POLI. JAUJA</v>
          </cell>
        </row>
        <row r="313">
          <cell r="B313">
            <v>312</v>
          </cell>
          <cell r="C313" t="str">
            <v>C. M. CONCEPCION</v>
          </cell>
        </row>
        <row r="314">
          <cell r="B314">
            <v>313</v>
          </cell>
          <cell r="C314" t="str">
            <v>HOSP.SELVA CENTRAL -LA MERCED</v>
          </cell>
        </row>
        <row r="315">
          <cell r="B315">
            <v>314</v>
          </cell>
          <cell r="C315" t="str">
            <v>P. M. ANDAYCHAGUA</v>
          </cell>
        </row>
        <row r="316">
          <cell r="B316">
            <v>315</v>
          </cell>
          <cell r="C316" t="str">
            <v>P. M. COBRIZA</v>
          </cell>
        </row>
        <row r="317">
          <cell r="B317">
            <v>316</v>
          </cell>
          <cell r="C317" t="str">
            <v>P. M. CORPACANCHA</v>
          </cell>
        </row>
        <row r="318">
          <cell r="B318">
            <v>317</v>
          </cell>
          <cell r="C318" t="str">
            <v>P. M. JUNIN</v>
          </cell>
        </row>
        <row r="319">
          <cell r="B319">
            <v>318</v>
          </cell>
          <cell r="C319" t="str">
            <v>P. M. MARH-TUNEL</v>
          </cell>
        </row>
        <row r="320">
          <cell r="B320">
            <v>319</v>
          </cell>
          <cell r="C320" t="str">
            <v>P. M. MAZAMARI</v>
          </cell>
        </row>
        <row r="321">
          <cell r="B321">
            <v>320</v>
          </cell>
          <cell r="C321" t="str">
            <v>P. M. MOROCOCHA-CENTROMIN</v>
          </cell>
        </row>
        <row r="322">
          <cell r="B322">
            <v>321</v>
          </cell>
          <cell r="C322" t="str">
            <v>P. M. MUQUILLAUYO</v>
          </cell>
        </row>
        <row r="323">
          <cell r="B323">
            <v>322</v>
          </cell>
          <cell r="C323" t="str">
            <v>P. M. PACHACAYO</v>
          </cell>
        </row>
        <row r="324">
          <cell r="B324">
            <v>323</v>
          </cell>
          <cell r="C324" t="str">
            <v>P. M. SAN CRISTOBAL</v>
          </cell>
        </row>
        <row r="325">
          <cell r="B325">
            <v>324</v>
          </cell>
          <cell r="C325" t="str">
            <v>P. M. YAURICOCHA</v>
          </cell>
        </row>
        <row r="326">
          <cell r="B326">
            <v>325</v>
          </cell>
          <cell r="C326" t="str">
            <v>HOSP. II PASCO</v>
          </cell>
        </row>
        <row r="327">
          <cell r="B327">
            <v>326</v>
          </cell>
          <cell r="C327" t="str">
            <v>HOSP. I HUARIACA</v>
          </cell>
        </row>
        <row r="328">
          <cell r="B328">
            <v>327</v>
          </cell>
          <cell r="C328" t="str">
            <v>P. M. ANIMON (CERRADO)</v>
          </cell>
        </row>
        <row r="329">
          <cell r="B329">
            <v>328</v>
          </cell>
          <cell r="C329" t="str">
            <v>P. M. ATACOCHA (CERRADO)</v>
          </cell>
        </row>
        <row r="330">
          <cell r="B330">
            <v>329</v>
          </cell>
          <cell r="C330" t="str">
            <v>P. M. CHICRIN</v>
          </cell>
        </row>
        <row r="331">
          <cell r="B331">
            <v>330</v>
          </cell>
          <cell r="C331" t="str">
            <v>P. M. COLQUIJIRCA</v>
          </cell>
        </row>
        <row r="332">
          <cell r="B332">
            <v>331</v>
          </cell>
          <cell r="C332" t="str">
            <v>P. M. HUARON</v>
          </cell>
        </row>
        <row r="333">
          <cell r="B333">
            <v>332</v>
          </cell>
          <cell r="C333" t="str">
            <v>P. M. HUAYLLAY</v>
          </cell>
        </row>
        <row r="334">
          <cell r="B334">
            <v>333</v>
          </cell>
          <cell r="C334" t="str">
            <v>P. M. MILPO</v>
          </cell>
        </row>
        <row r="335">
          <cell r="B335">
            <v>334</v>
          </cell>
          <cell r="C335" t="str">
            <v>HOSP. I OXAPAMPA</v>
          </cell>
        </row>
        <row r="336">
          <cell r="B336">
            <v>335</v>
          </cell>
          <cell r="C336" t="str">
            <v>P. M. PAUCARTAMBO</v>
          </cell>
        </row>
        <row r="337">
          <cell r="B337">
            <v>336</v>
          </cell>
          <cell r="C337" t="str">
            <v>P. M. POZUZO</v>
          </cell>
        </row>
        <row r="338">
          <cell r="B338">
            <v>337</v>
          </cell>
          <cell r="C338" t="str">
            <v>P. M. PUERTO BERMUDEZ</v>
          </cell>
        </row>
        <row r="339">
          <cell r="B339">
            <v>338</v>
          </cell>
          <cell r="C339" t="str">
            <v>P. M. SAN JUAN</v>
          </cell>
        </row>
        <row r="340">
          <cell r="B340">
            <v>339</v>
          </cell>
          <cell r="C340" t="str">
            <v>P. M. SAN MIGUEL</v>
          </cell>
        </row>
        <row r="341">
          <cell r="B341">
            <v>340</v>
          </cell>
          <cell r="C341" t="str">
            <v>P. M. VILLA RICA</v>
          </cell>
        </row>
        <row r="342">
          <cell r="B342">
            <v>341</v>
          </cell>
          <cell r="C342" t="str">
            <v>P. M. YANAHUANCA</v>
          </cell>
        </row>
        <row r="343">
          <cell r="B343">
            <v>342</v>
          </cell>
          <cell r="C343" t="str">
            <v>HOSP. II HUANCAVELICA</v>
          </cell>
        </row>
        <row r="344">
          <cell r="B344">
            <v>343</v>
          </cell>
          <cell r="C344" t="str">
            <v>P. M. ACOBAMBA</v>
          </cell>
        </row>
        <row r="345">
          <cell r="B345">
            <v>344</v>
          </cell>
          <cell r="C345" t="str">
            <v>P. M. CASTROVIRREYNA</v>
          </cell>
        </row>
        <row r="346">
          <cell r="B346">
            <v>345</v>
          </cell>
          <cell r="C346" t="str">
            <v>P. M. CHURCAMPA</v>
          </cell>
        </row>
        <row r="347">
          <cell r="B347">
            <v>346</v>
          </cell>
          <cell r="C347" t="str">
            <v>P. M. HUAYTARA</v>
          </cell>
        </row>
        <row r="348">
          <cell r="B348">
            <v>347</v>
          </cell>
          <cell r="C348" t="str">
            <v>C. M. LIRCAY-ANGARAES</v>
          </cell>
        </row>
        <row r="349">
          <cell r="B349">
            <v>348</v>
          </cell>
          <cell r="C349" t="str">
            <v>C. M. PAMPAS-TAYACAJA</v>
          </cell>
        </row>
        <row r="350">
          <cell r="B350">
            <v>349</v>
          </cell>
          <cell r="C350" t="str">
            <v>HOSP. II PUCALLPA</v>
          </cell>
        </row>
        <row r="351">
          <cell r="B351">
            <v>350</v>
          </cell>
          <cell r="C351" t="str">
            <v>P. M. AGUAYTIA</v>
          </cell>
        </row>
        <row r="352">
          <cell r="B352">
            <v>351</v>
          </cell>
          <cell r="C352" t="str">
            <v>P. M. ALAMEDA</v>
          </cell>
        </row>
        <row r="353">
          <cell r="B353">
            <v>352</v>
          </cell>
          <cell r="C353" t="str">
            <v>P. M. ATALAYA</v>
          </cell>
        </row>
        <row r="354">
          <cell r="B354">
            <v>353</v>
          </cell>
          <cell r="C354" t="str">
            <v>P. M. BOLOGNESI (IPSS-MINSA)</v>
          </cell>
        </row>
        <row r="355">
          <cell r="B355">
            <v>354</v>
          </cell>
          <cell r="C355" t="str">
            <v>P. M. CAMPO VERDE</v>
          </cell>
        </row>
        <row r="356">
          <cell r="B356">
            <v>355</v>
          </cell>
          <cell r="C356" t="str">
            <v>P. M. CONTAMANA</v>
          </cell>
        </row>
        <row r="357">
          <cell r="B357">
            <v>356</v>
          </cell>
          <cell r="C357" t="str">
            <v>P. M. FONAVI</v>
          </cell>
        </row>
        <row r="358">
          <cell r="B358">
            <v>357</v>
          </cell>
          <cell r="C358" t="str">
            <v>P. M. IPARIA (IPSS-MINSA)</v>
          </cell>
        </row>
        <row r="359">
          <cell r="B359">
            <v>358</v>
          </cell>
          <cell r="C359" t="str">
            <v>P. M. JUANCITO (IPSS-MINSA)</v>
          </cell>
        </row>
        <row r="360">
          <cell r="B360">
            <v>359</v>
          </cell>
          <cell r="C360" t="str">
            <v>P. M. MASISEA</v>
          </cell>
        </row>
        <row r="361">
          <cell r="B361">
            <v>360</v>
          </cell>
          <cell r="C361" t="str">
            <v>P. M. NUEVA REQUENA (IPSS-MINS</v>
          </cell>
        </row>
        <row r="362">
          <cell r="B362">
            <v>361</v>
          </cell>
          <cell r="C362" t="str">
            <v>P. M. ORELLANA (IPSS-MINSA)</v>
          </cell>
        </row>
        <row r="363">
          <cell r="B363">
            <v>362</v>
          </cell>
          <cell r="C363" t="str">
            <v>P. M. PURUS</v>
          </cell>
        </row>
        <row r="364">
          <cell r="B364">
            <v>363</v>
          </cell>
          <cell r="C364" t="str">
            <v>P. M. SAN ALEJANDRO (IPSS-MINS</v>
          </cell>
        </row>
        <row r="365">
          <cell r="B365">
            <v>364</v>
          </cell>
          <cell r="C365" t="str">
            <v>P. M. SAN JORGE</v>
          </cell>
        </row>
        <row r="366">
          <cell r="B366">
            <v>365</v>
          </cell>
          <cell r="C366" t="str">
            <v>P. M. SEPAHUA</v>
          </cell>
        </row>
        <row r="367">
          <cell r="B367">
            <v>366</v>
          </cell>
          <cell r="C367" t="str">
            <v>P. M. SEPAHUA SALUD</v>
          </cell>
        </row>
        <row r="368">
          <cell r="B368">
            <v>367</v>
          </cell>
          <cell r="C368" t="str">
            <v>P. M. SEPAHUA VICARIATO</v>
          </cell>
        </row>
        <row r="369">
          <cell r="B369">
            <v>368</v>
          </cell>
          <cell r="C369" t="str">
            <v>P. M. TIERRA BLANCA (IPSS-MINS</v>
          </cell>
        </row>
        <row r="370">
          <cell r="B370">
            <v>369</v>
          </cell>
          <cell r="C370" t="str">
            <v>P. M. YURUA (IPSS-MINSA)</v>
          </cell>
        </row>
        <row r="371">
          <cell r="B371">
            <v>370</v>
          </cell>
          <cell r="C371" t="str">
            <v>POLI. CHICLAYO OESTE</v>
          </cell>
        </row>
        <row r="372">
          <cell r="B372">
            <v>371</v>
          </cell>
          <cell r="C372" t="str">
            <v>P. M. LA TINGUIÑA</v>
          </cell>
        </row>
        <row r="373">
          <cell r="B373">
            <v>372</v>
          </cell>
          <cell r="C373" t="str">
            <v>P. M. SAN PEDRO DE CAJAS</v>
          </cell>
        </row>
        <row r="374">
          <cell r="B374">
            <v>373</v>
          </cell>
          <cell r="C374" t="str">
            <v>C. M. SANTIAGO</v>
          </cell>
        </row>
        <row r="375">
          <cell r="B375">
            <v>374</v>
          </cell>
          <cell r="C375" t="str">
            <v>P. M. AEROPUERTO</v>
          </cell>
        </row>
        <row r="376">
          <cell r="B376">
            <v>375</v>
          </cell>
          <cell r="C376" t="str">
            <v>P. M. CANTA</v>
          </cell>
        </row>
        <row r="377">
          <cell r="B377">
            <v>376</v>
          </cell>
          <cell r="C377" t="str">
            <v>POLI. SAN LUIS</v>
          </cell>
        </row>
        <row r="378">
          <cell r="B378">
            <v>377</v>
          </cell>
          <cell r="C378" t="str">
            <v>C. M. SANTA MARIA DE NIEVA</v>
          </cell>
        </row>
        <row r="379">
          <cell r="B379">
            <v>378</v>
          </cell>
          <cell r="C379" t="str">
            <v>P. M. NESHUYA</v>
          </cell>
        </row>
        <row r="380">
          <cell r="B380">
            <v>379</v>
          </cell>
          <cell r="C380" t="str">
            <v>P. M. PALLASCA</v>
          </cell>
        </row>
        <row r="381">
          <cell r="B381">
            <v>380</v>
          </cell>
          <cell r="C381" t="str">
            <v>C. M. EL ALTO</v>
          </cell>
        </row>
        <row r="382">
          <cell r="B382">
            <v>381</v>
          </cell>
          <cell r="C382" t="str">
            <v>P. M. ZARUMILLA</v>
          </cell>
        </row>
        <row r="383">
          <cell r="B383">
            <v>382</v>
          </cell>
          <cell r="C383" t="str">
            <v>INSTITUTO PERUANO OFTALMOLOGIA</v>
          </cell>
        </row>
        <row r="384">
          <cell r="B384">
            <v>383</v>
          </cell>
          <cell r="C384" t="str">
            <v>POLI. C.CASTAÑEDA I.</v>
          </cell>
        </row>
        <row r="385">
          <cell r="B385">
            <v>384</v>
          </cell>
          <cell r="C385" t="str">
            <v>POLI. A.GAVIDIA SALCEDO</v>
          </cell>
        </row>
        <row r="386">
          <cell r="B386">
            <v>385</v>
          </cell>
          <cell r="C386" t="str">
            <v>P. M. GERPESA</v>
          </cell>
        </row>
        <row r="387">
          <cell r="B387">
            <v>386</v>
          </cell>
          <cell r="C387" t="str">
            <v>POLI. ILAVE</v>
          </cell>
        </row>
        <row r="388">
          <cell r="B388">
            <v>387</v>
          </cell>
          <cell r="C388" t="str">
            <v>C. M. SANTIAGO</v>
          </cell>
        </row>
        <row r="389">
          <cell r="B389">
            <v>388</v>
          </cell>
          <cell r="C389" t="str">
            <v>P. M. SAN FRANCISCO</v>
          </cell>
        </row>
        <row r="390">
          <cell r="B390">
            <v>389</v>
          </cell>
          <cell r="C390" t="str">
            <v>C. M. HUANCAYO</v>
          </cell>
        </row>
        <row r="391">
          <cell r="B391">
            <v>390</v>
          </cell>
          <cell r="C391" t="str">
            <v>P. M. CHILCA</v>
          </cell>
        </row>
        <row r="392">
          <cell r="B392">
            <v>391</v>
          </cell>
          <cell r="C392" t="str">
            <v>P. M. PICHANAQUI</v>
          </cell>
        </row>
        <row r="393">
          <cell r="B393">
            <v>392</v>
          </cell>
          <cell r="C393" t="str">
            <v>INST. NACIONAL DEL CORAZON</v>
          </cell>
        </row>
        <row r="394">
          <cell r="B394">
            <v>393</v>
          </cell>
          <cell r="C394" t="str">
            <v>ESPECIALISTAS IPSS (EIPSS)</v>
          </cell>
        </row>
        <row r="395">
          <cell r="B395">
            <v>394</v>
          </cell>
          <cell r="C395" t="str">
            <v>SERVICIOS ITINERANTES (H.CAMP)</v>
          </cell>
        </row>
        <row r="396">
          <cell r="B396">
            <v>395</v>
          </cell>
          <cell r="C396" t="str">
            <v>SERVICIOS ESPECIALES DE SALUD</v>
          </cell>
        </row>
        <row r="397">
          <cell r="B397">
            <v>396</v>
          </cell>
          <cell r="C397" t="str">
            <v>PADOMI PROG.ATENCION DOMICILI.</v>
          </cell>
        </row>
        <row r="398">
          <cell r="B398">
            <v>397</v>
          </cell>
          <cell r="C398" t="str">
            <v>PAAD PROG.ATENCION AMBULATORIA</v>
          </cell>
        </row>
        <row r="399">
          <cell r="B399">
            <v>398</v>
          </cell>
          <cell r="C399" t="str">
            <v>POLICLINICOS MOVILES</v>
          </cell>
        </row>
        <row r="400">
          <cell r="B400">
            <v>399</v>
          </cell>
          <cell r="C400" t="str">
            <v>SERVICIOS CONTRATADOS</v>
          </cell>
        </row>
        <row r="401">
          <cell r="B401">
            <v>400</v>
          </cell>
          <cell r="C401" t="str">
            <v>ALO IPSS</v>
          </cell>
        </row>
        <row r="402">
          <cell r="B402">
            <v>401</v>
          </cell>
          <cell r="C402" t="str">
            <v>CENTROS DE HEMODIALISIS</v>
          </cell>
        </row>
        <row r="403">
          <cell r="B403">
            <v>402</v>
          </cell>
          <cell r="C403" t="str">
            <v>HOSP. I NAYLAMP</v>
          </cell>
        </row>
        <row r="404">
          <cell r="B404">
            <v>403</v>
          </cell>
          <cell r="C404" t="str">
            <v>POLI. SAN ISIDRO LABRADOR</v>
          </cell>
        </row>
        <row r="405">
          <cell r="B405">
            <v>404</v>
          </cell>
          <cell r="C405" t="str">
            <v>HOSP. I JORGE VOTO BERNALES</v>
          </cell>
        </row>
        <row r="406">
          <cell r="B406">
            <v>405</v>
          </cell>
          <cell r="C406" t="str">
            <v>HOSP. I ULDARICO ROCCA F.</v>
          </cell>
        </row>
        <row r="407">
          <cell r="B407">
            <v>406</v>
          </cell>
          <cell r="C407" t="str">
            <v>HOSP. I AURELIO DIAZ-UFANO Y P</v>
          </cell>
        </row>
        <row r="408">
          <cell r="B408">
            <v>407</v>
          </cell>
          <cell r="C408" t="str">
            <v>POLI. JUAN JOSE RODRIGUEZ LAZO</v>
          </cell>
        </row>
        <row r="409">
          <cell r="B409">
            <v>408</v>
          </cell>
          <cell r="C409" t="str">
            <v>HOSP. I CARLOS ALCANTARA B.</v>
          </cell>
        </row>
        <row r="410">
          <cell r="B410">
            <v>409</v>
          </cell>
          <cell r="C410" t="str">
            <v>POLI. HNA.MARIA DONROSE S.</v>
          </cell>
        </row>
        <row r="411">
          <cell r="B411">
            <v>410</v>
          </cell>
          <cell r="C411" t="str">
            <v>HOSP. I MARINO MOLINA SCIPPA</v>
          </cell>
        </row>
        <row r="412">
          <cell r="B412">
            <v>411</v>
          </cell>
          <cell r="C412" t="str">
            <v>POLI. CHEQUEOS LARCO</v>
          </cell>
        </row>
        <row r="413">
          <cell r="B413">
            <v>412</v>
          </cell>
          <cell r="C413" t="str">
            <v>POLI. OCTAVIO MONGRUT M.</v>
          </cell>
        </row>
        <row r="414">
          <cell r="B414">
            <v>413</v>
          </cell>
          <cell r="C414" t="str">
            <v>POLI. JULIACA</v>
          </cell>
        </row>
        <row r="415">
          <cell r="B415">
            <v>414</v>
          </cell>
          <cell r="C415" t="str">
            <v>POLI. PUNO</v>
          </cell>
        </row>
        <row r="416">
          <cell r="B416">
            <v>415</v>
          </cell>
          <cell r="C416" t="str">
            <v>C. M. ANTA</v>
          </cell>
        </row>
        <row r="417">
          <cell r="B417">
            <v>416</v>
          </cell>
          <cell r="C417" t="str">
            <v>C. M. SATIPO</v>
          </cell>
        </row>
        <row r="418">
          <cell r="B418">
            <v>417</v>
          </cell>
          <cell r="C418" t="str">
            <v>P. M. ANTABAMBA</v>
          </cell>
        </row>
        <row r="419">
          <cell r="B419">
            <v>418</v>
          </cell>
          <cell r="C419" t="str">
            <v>C. M. METROPOLITANO</v>
          </cell>
        </row>
        <row r="420">
          <cell r="B420">
            <v>419</v>
          </cell>
          <cell r="C420" t="str">
            <v>P. M. CORACORA</v>
          </cell>
        </row>
        <row r="421">
          <cell r="B421">
            <v>420</v>
          </cell>
          <cell r="C421" t="str">
            <v>P. M. SAN GABAN</v>
          </cell>
        </row>
        <row r="422">
          <cell r="B422">
            <v>421</v>
          </cell>
          <cell r="C422" t="str">
            <v>HOSP. I CLIN.UNIVERSIT. UNA</v>
          </cell>
        </row>
        <row r="423">
          <cell r="B423">
            <v>422</v>
          </cell>
          <cell r="C423" t="str">
            <v>ENTIDAD PRESTADORA DE SALUD</v>
          </cell>
        </row>
        <row r="424">
          <cell r="B424">
            <v>425</v>
          </cell>
          <cell r="C424" t="str">
            <v>CAP I HUANCASANCOS</v>
          </cell>
        </row>
        <row r="425">
          <cell r="B425">
            <v>426</v>
          </cell>
          <cell r="C425" t="str">
            <v>P. M. SANTA LUCIA</v>
          </cell>
        </row>
        <row r="426">
          <cell r="B426">
            <v>428</v>
          </cell>
          <cell r="C426" t="str">
            <v>P. M. HUANCAPI</v>
          </cell>
        </row>
        <row r="427">
          <cell r="B427">
            <v>429</v>
          </cell>
          <cell r="C427" t="str">
            <v>C. M. ESPECIALIZ. CASA GRANDE</v>
          </cell>
        </row>
        <row r="428">
          <cell r="B428">
            <v>430</v>
          </cell>
          <cell r="C428" t="str">
            <v>POLI. METROPOLITANO TACNA</v>
          </cell>
        </row>
        <row r="429">
          <cell r="B429">
            <v>431</v>
          </cell>
          <cell r="C429" t="str">
            <v>POLI. METROPOLITANO HUANCAYO</v>
          </cell>
        </row>
        <row r="430">
          <cell r="B430">
            <v>432</v>
          </cell>
          <cell r="C430" t="str">
            <v>P. M. PAIJAN</v>
          </cell>
        </row>
        <row r="431">
          <cell r="B431">
            <v>433</v>
          </cell>
          <cell r="C431" t="str">
            <v>P. M. SANTIAGO DE CAO</v>
          </cell>
        </row>
        <row r="432">
          <cell r="B432">
            <v>434</v>
          </cell>
          <cell r="C432" t="str">
            <v>P. M. ITE</v>
          </cell>
        </row>
        <row r="433">
          <cell r="B433">
            <v>435</v>
          </cell>
          <cell r="C433" t="str">
            <v>P. M. ILABAYA</v>
          </cell>
        </row>
        <row r="434">
          <cell r="B434">
            <v>436</v>
          </cell>
          <cell r="C434" t="str">
            <v>POLI. SANTA CRUZ</v>
          </cell>
        </row>
        <row r="435">
          <cell r="B435">
            <v>437</v>
          </cell>
          <cell r="C435" t="str">
            <v>POLI. REPUBLICA DE PANAMA</v>
          </cell>
        </row>
        <row r="436">
          <cell r="B436">
            <v>438</v>
          </cell>
          <cell r="C436" t="str">
            <v>POLI. BELLAVISTA</v>
          </cell>
        </row>
        <row r="437">
          <cell r="B437">
            <v>439</v>
          </cell>
          <cell r="C437" t="str">
            <v>CAP III IQUITOS</v>
          </cell>
        </row>
        <row r="438">
          <cell r="B438">
            <v>440</v>
          </cell>
          <cell r="C438" t="str">
            <v>CAP III PUNCHANA</v>
          </cell>
        </row>
        <row r="439">
          <cell r="B439">
            <v>441</v>
          </cell>
          <cell r="C439" t="str">
            <v>CAP II SAN JUAN BAUTISTA</v>
          </cell>
        </row>
        <row r="440">
          <cell r="B440">
            <v>442</v>
          </cell>
          <cell r="C440" t="str">
            <v>C. M. HUANCHACO</v>
          </cell>
        </row>
        <row r="441">
          <cell r="B441">
            <v>443</v>
          </cell>
          <cell r="C441" t="str">
            <v>POLI. VICTOR LARCO HERRERA</v>
          </cell>
        </row>
        <row r="442">
          <cell r="B442">
            <v>444</v>
          </cell>
          <cell r="C442" t="str">
            <v>P. M. CHAO</v>
          </cell>
        </row>
        <row r="443">
          <cell r="B443">
            <v>445</v>
          </cell>
          <cell r="C443" t="str">
            <v>POLI. CADAMUJER-USMP</v>
          </cell>
        </row>
        <row r="444">
          <cell r="B444">
            <v>446</v>
          </cell>
          <cell r="C444" t="str">
            <v>CAP III EL AGUSTINO</v>
          </cell>
        </row>
        <row r="445">
          <cell r="B445">
            <v>447</v>
          </cell>
          <cell r="C445" t="str">
            <v>CAP III HUAYCAN</v>
          </cell>
        </row>
        <row r="446">
          <cell r="B446">
            <v>448</v>
          </cell>
          <cell r="C446" t="str">
            <v>CAP II CONO NORTE</v>
          </cell>
        </row>
        <row r="447">
          <cell r="B447">
            <v>449</v>
          </cell>
          <cell r="C447" t="str">
            <v>CAP III METROPOLITANO AYACUCHO</v>
          </cell>
        </row>
        <row r="448">
          <cell r="B448">
            <v>450</v>
          </cell>
          <cell r="C448" t="str">
            <v>CAP II LURIN</v>
          </cell>
        </row>
        <row r="449">
          <cell r="B449">
            <v>451</v>
          </cell>
          <cell r="C449" t="str">
            <v>CAP I DESAGUADERO</v>
          </cell>
        </row>
        <row r="450">
          <cell r="B450">
            <v>452</v>
          </cell>
          <cell r="C450" t="str">
            <v>CAP II ACORA</v>
          </cell>
        </row>
        <row r="451">
          <cell r="B451">
            <v>453</v>
          </cell>
          <cell r="C451" t="str">
            <v>CAP III PAUCARPATA</v>
          </cell>
        </row>
        <row r="452">
          <cell r="B452">
            <v>454</v>
          </cell>
          <cell r="C452" t="str">
            <v>CAP II CHILCA</v>
          </cell>
        </row>
        <row r="453">
          <cell r="B453">
            <v>455</v>
          </cell>
          <cell r="C453" t="str">
            <v>CAP III PUENTE PIEDRA</v>
          </cell>
        </row>
        <row r="454">
          <cell r="B454">
            <v>468</v>
          </cell>
          <cell r="C454" t="str">
            <v>CAP I ANTABAMBA</v>
          </cell>
        </row>
        <row r="455">
          <cell r="B455">
            <v>473</v>
          </cell>
          <cell r="C455" t="str">
            <v>CAP III CARABAYLLO</v>
          </cell>
        </row>
        <row r="456">
          <cell r="B456">
            <v>474</v>
          </cell>
          <cell r="C456" t="str">
            <v>CAP II TORATA</v>
          </cell>
        </row>
        <row r="457">
          <cell r="B457">
            <v>475</v>
          </cell>
          <cell r="C457" t="str">
            <v>CAP III METROPOLITANO DE HUANU</v>
          </cell>
        </row>
        <row r="458">
          <cell r="B458">
            <v>476</v>
          </cell>
          <cell r="C458" t="str">
            <v>CAP III SAN ISIDRO</v>
          </cell>
        </row>
        <row r="459">
          <cell r="B459">
            <v>477</v>
          </cell>
          <cell r="C459" t="str">
            <v>CAP III SURQUILLO</v>
          </cell>
        </row>
        <row r="460">
          <cell r="B460">
            <v>478</v>
          </cell>
          <cell r="C460" t="str">
            <v>CAP III ALFREDO PIAZZA ROBERTS</v>
          </cell>
        </row>
        <row r="461">
          <cell r="B461">
            <v>479</v>
          </cell>
          <cell r="C461" t="str">
            <v>CAP III MANCO CAPAC</v>
          </cell>
        </row>
        <row r="462">
          <cell r="B462">
            <v>480</v>
          </cell>
          <cell r="C462" t="str">
            <v>CAP III SAN BORJA</v>
          </cell>
        </row>
        <row r="463">
          <cell r="B463">
            <v>481</v>
          </cell>
          <cell r="C463" t="str">
            <v>CAP III INDEPENDENCIA</v>
          </cell>
        </row>
        <row r="464">
          <cell r="B464">
            <v>482</v>
          </cell>
          <cell r="C464" t="str">
            <v>CAP III ALTO SELVA ALEGRE</v>
          </cell>
        </row>
        <row r="465">
          <cell r="B465">
            <v>483</v>
          </cell>
          <cell r="C465" t="str">
            <v>CAP III CERRO COLORADO</v>
          </cell>
        </row>
        <row r="466">
          <cell r="B466">
            <v>484</v>
          </cell>
          <cell r="C466" t="str">
            <v>CAP III METROPOLITANO DE TRUJI</v>
          </cell>
        </row>
        <row r="467">
          <cell r="B467">
            <v>485</v>
          </cell>
          <cell r="C467" t="str">
            <v>CAP III EL OBELISCO</v>
          </cell>
        </row>
        <row r="468">
          <cell r="B468">
            <v>486</v>
          </cell>
          <cell r="C468" t="str">
            <v>CAP III METROPOLITANO DEL CALL</v>
          </cell>
        </row>
        <row r="469">
          <cell r="B469">
            <v>487</v>
          </cell>
          <cell r="C469" t="str">
            <v>CAP III METROPOLITANO DE CHIMB</v>
          </cell>
        </row>
        <row r="470">
          <cell r="B470">
            <v>488</v>
          </cell>
          <cell r="C470" t="str">
            <v>CAP III CATACAOS</v>
          </cell>
        </row>
        <row r="471">
          <cell r="B471">
            <v>489</v>
          </cell>
          <cell r="C471" t="str">
            <v>CAP I NUEVA CAJAMARCA</v>
          </cell>
        </row>
        <row r="472">
          <cell r="B472">
            <v>490</v>
          </cell>
          <cell r="C472" t="str">
            <v>CAP I ASILLO</v>
          </cell>
        </row>
        <row r="473">
          <cell r="B473">
            <v>491</v>
          </cell>
          <cell r="C473" t="str">
            <v>CAP II CABANILLAS</v>
          </cell>
        </row>
        <row r="474">
          <cell r="B474">
            <v>492</v>
          </cell>
          <cell r="C474" t="str">
            <v>CAP I PICHANAQUI</v>
          </cell>
        </row>
        <row r="475">
          <cell r="B475">
            <v>493</v>
          </cell>
          <cell r="C475" t="str">
            <v>CAP II PATAPO</v>
          </cell>
        </row>
        <row r="476">
          <cell r="B476">
            <v>494</v>
          </cell>
          <cell r="C476" t="str">
            <v>CAP III MANTARO</v>
          </cell>
        </row>
        <row r="477">
          <cell r="B477">
            <v>495</v>
          </cell>
          <cell r="C477" t="str">
            <v>CENTRO CORPORATIVO DE CANJE CI</v>
          </cell>
        </row>
        <row r="478">
          <cell r="B478">
            <v>497</v>
          </cell>
          <cell r="C478" t="str">
            <v>CAP III LUIS NEGREIROS</v>
          </cell>
        </row>
        <row r="479">
          <cell r="B479">
            <v>500</v>
          </cell>
          <cell r="C479" t="str">
            <v>CAP III LOS PROCEDES DE SJM</v>
          </cell>
        </row>
        <row r="480">
          <cell r="B480">
            <v>501</v>
          </cell>
          <cell r="C480" t="str">
            <v>CAP II LOS BANOS DEL INCA</v>
          </cell>
        </row>
        <row r="481">
          <cell r="B481">
            <v>504</v>
          </cell>
          <cell r="C481" t="str">
            <v>CAP II CHUPACA</v>
          </cell>
        </row>
        <row r="482">
          <cell r="B482">
            <v>507</v>
          </cell>
          <cell r="C482" t="str">
            <v>CAP I IMAZA</v>
          </cell>
        </row>
        <row r="483">
          <cell r="B483">
            <v>508</v>
          </cell>
          <cell r="C483" t="str">
            <v>CAP III ZARATE</v>
          </cell>
        </row>
        <row r="484">
          <cell r="B484">
            <v>509</v>
          </cell>
          <cell r="C484" t="str">
            <v>CAP III GAMARRA</v>
          </cell>
        </row>
        <row r="485">
          <cell r="B485">
            <v>510</v>
          </cell>
          <cell r="C485" t="str">
            <v>CAP I SANTO TOMAS</v>
          </cell>
        </row>
        <row r="486">
          <cell r="B486">
            <v>512</v>
          </cell>
          <cell r="C486" t="str">
            <v>CAP II COTABAMBAS</v>
          </cell>
        </row>
        <row r="487">
          <cell r="B487">
            <v>513</v>
          </cell>
          <cell r="C487" t="str">
            <v>CAP I ECHARATE</v>
          </cell>
        </row>
        <row r="488">
          <cell r="B488">
            <v>514</v>
          </cell>
          <cell r="C488" t="str">
            <v>CAP III RIMAC</v>
          </cell>
        </row>
        <row r="489">
          <cell r="B489">
            <v>515</v>
          </cell>
          <cell r="C489" t="str">
            <v>CAP I MANANTAY</v>
          </cell>
        </row>
        <row r="490">
          <cell r="B490">
            <v>516</v>
          </cell>
          <cell r="C490" t="str">
            <v>CAP I ANTABAMBA</v>
          </cell>
        </row>
        <row r="491">
          <cell r="B491">
            <v>517</v>
          </cell>
          <cell r="C491" t="str">
            <v>CAP III METROPOLITANO DE PIURA</v>
          </cell>
        </row>
        <row r="492">
          <cell r="B492">
            <v>519</v>
          </cell>
          <cell r="C492" t="str">
            <v>CAP III ENRIQUE ENCINAS FRANCO</v>
          </cell>
        </row>
        <row r="493">
          <cell r="B493">
            <v>520</v>
          </cell>
          <cell r="C493" t="str">
            <v>HOSPITAL PERU</v>
          </cell>
        </row>
        <row r="494">
          <cell r="B494">
            <v>521</v>
          </cell>
          <cell r="C494" t="str">
            <v>PROGRAMAS DE DESEMBALSE ESPECI</v>
          </cell>
        </row>
        <row r="495">
          <cell r="B495">
            <v>525</v>
          </cell>
          <cell r="C495" t="str">
            <v>POL. - APP - GUILLERMO KAELIN</v>
          </cell>
        </row>
        <row r="496">
          <cell r="B496">
            <v>526</v>
          </cell>
          <cell r="C496" t="str">
            <v>POL. - APP - ALBERTO LEOPOLDO</v>
          </cell>
        </row>
        <row r="497">
          <cell r="B497">
            <v>527</v>
          </cell>
          <cell r="C497" t="str">
            <v>H_ESP. - APP - GUILLERMO KAELI</v>
          </cell>
        </row>
        <row r="498">
          <cell r="B498">
            <v>528</v>
          </cell>
          <cell r="C498" t="str">
            <v>H_ESP. - APP - ALBERTO LEOPOLD</v>
          </cell>
        </row>
        <row r="499">
          <cell r="B499">
            <v>529</v>
          </cell>
          <cell r="C499" t="str">
            <v>CERP. CALLAO</v>
          </cell>
        </row>
        <row r="500">
          <cell r="B500">
            <v>530</v>
          </cell>
          <cell r="C500" t="str">
            <v>CERP. LA VICTORIA</v>
          </cell>
        </row>
        <row r="501">
          <cell r="B501">
            <v>531</v>
          </cell>
          <cell r="C501" t="str">
            <v>CERP. AREQUIPA</v>
          </cell>
        </row>
        <row r="502">
          <cell r="B502">
            <v>532</v>
          </cell>
          <cell r="C502" t="str">
            <v>CERP. PIURA</v>
          </cell>
        </row>
        <row r="503">
          <cell r="B503">
            <v>533</v>
          </cell>
          <cell r="C503" t="str">
            <v>MBRP. REBAGLIATI</v>
          </cell>
        </row>
        <row r="504">
          <cell r="B504">
            <v>534</v>
          </cell>
          <cell r="C504" t="str">
            <v>MBRP. ANCASH</v>
          </cell>
        </row>
        <row r="505">
          <cell r="B505">
            <v>535</v>
          </cell>
          <cell r="C505" t="str">
            <v>MBRP. CUSCO</v>
          </cell>
        </row>
        <row r="506">
          <cell r="B506">
            <v>536</v>
          </cell>
          <cell r="C506" t="str">
            <v>MBRP. CAJAMARCA</v>
          </cell>
        </row>
        <row r="507">
          <cell r="B507">
            <v>537</v>
          </cell>
          <cell r="C507" t="str">
            <v>MBRP. JUNIN</v>
          </cell>
        </row>
        <row r="508">
          <cell r="B508">
            <v>538</v>
          </cell>
          <cell r="C508" t="str">
            <v>MBRP. LAMBAYEQUE</v>
          </cell>
        </row>
        <row r="509">
          <cell r="B509">
            <v>539</v>
          </cell>
          <cell r="C509" t="str">
            <v>MBRP. PUNO</v>
          </cell>
        </row>
        <row r="510">
          <cell r="B510">
            <v>540</v>
          </cell>
          <cell r="C510" t="str">
            <v>MBRP. LA LIBERTAD</v>
          </cell>
        </row>
        <row r="511">
          <cell r="B511">
            <v>541</v>
          </cell>
          <cell r="C511" t="str">
            <v>MBRP. LORETO</v>
          </cell>
        </row>
        <row r="512">
          <cell r="B512">
            <v>671</v>
          </cell>
          <cell r="C512" t="str">
            <v>H. N. DE TRUJILLO</v>
          </cell>
        </row>
        <row r="513">
          <cell r="B513">
            <v>701</v>
          </cell>
          <cell r="C513" t="str">
            <v>UDR-SIS</v>
          </cell>
        </row>
        <row r="514">
          <cell r="B514">
            <v>802</v>
          </cell>
          <cell r="C514" t="str">
            <v>UBAP LOS OLIVOS</v>
          </cell>
        </row>
        <row r="515">
          <cell r="B515">
            <v>806</v>
          </cell>
          <cell r="C515" t="str">
            <v>UBAP MAGDALENA</v>
          </cell>
        </row>
        <row r="516">
          <cell r="B516">
            <v>807</v>
          </cell>
          <cell r="C516" t="str">
            <v>UBAP BARRANCO</v>
          </cell>
        </row>
        <row r="517">
          <cell r="B517">
            <v>808</v>
          </cell>
          <cell r="C517" t="str">
            <v>UBAP MANCHAY</v>
          </cell>
        </row>
        <row r="518">
          <cell r="B518">
            <v>809</v>
          </cell>
          <cell r="C518" t="str">
            <v>UBAP JESUS MARIA</v>
          </cell>
        </row>
        <row r="519">
          <cell r="B519">
            <v>810</v>
          </cell>
          <cell r="C519" t="str">
            <v>UBAP HOGAR CLINICA SAN JUAN DE</v>
          </cell>
        </row>
        <row r="520">
          <cell r="B520">
            <v>888</v>
          </cell>
          <cell r="C520" t="str">
            <v>POLICLINICO SUAREZ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8DE7-521B-EF44-88F5-35FF3C220DF6}">
  <dimension ref="A1:K375"/>
  <sheetViews>
    <sheetView tabSelected="1" zoomScale="160" workbookViewId="0">
      <selection sqref="A1:K1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396</v>
      </c>
      <c r="C1" s="1" t="s">
        <v>395</v>
      </c>
      <c r="D1" s="1" t="s">
        <v>394</v>
      </c>
      <c r="E1" s="2" t="s">
        <v>393</v>
      </c>
      <c r="F1" s="2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</row>
    <row r="2" spans="1:11" x14ac:dyDescent="0.2">
      <c r="A2" s="4">
        <v>1</v>
      </c>
      <c r="B2" s="4"/>
      <c r="C2" s="4"/>
      <c r="D2" s="5">
        <v>46072</v>
      </c>
      <c r="E2" s="6"/>
      <c r="F2" s="6" t="s">
        <v>7</v>
      </c>
      <c r="G2" s="7">
        <v>48</v>
      </c>
      <c r="H2" s="8">
        <v>494</v>
      </c>
      <c r="I2" s="4" t="str">
        <f>VLOOKUP(H2,[1]policlin!B:C,2,1)</f>
        <v>CAP III MANTARO</v>
      </c>
      <c r="J2" s="7">
        <v>20106294</v>
      </c>
      <c r="K2" s="7" t="s">
        <v>8</v>
      </c>
    </row>
    <row r="3" spans="1:11" x14ac:dyDescent="0.2">
      <c r="A3" s="4">
        <f>SUM(1+A2)</f>
        <v>2</v>
      </c>
      <c r="B3" s="4"/>
      <c r="C3" s="4"/>
      <c r="D3" s="5">
        <v>46065</v>
      </c>
      <c r="E3" s="9">
        <v>46051</v>
      </c>
      <c r="F3" s="6" t="s">
        <v>9</v>
      </c>
      <c r="G3" s="7">
        <v>68</v>
      </c>
      <c r="H3" s="8">
        <v>494</v>
      </c>
      <c r="I3" s="4" t="str">
        <f>VLOOKUP(H3,[1]policlin!B:C,2,1)</f>
        <v>CAP III MANTARO</v>
      </c>
      <c r="J3" s="7">
        <v>19828263</v>
      </c>
      <c r="K3" s="7" t="s">
        <v>8</v>
      </c>
    </row>
    <row r="4" spans="1:11" x14ac:dyDescent="0.2">
      <c r="A4" s="4">
        <f t="shared" ref="A4:A67" si="0">SUM(1+A3)</f>
        <v>3</v>
      </c>
      <c r="B4" s="4"/>
      <c r="C4" s="5">
        <v>46087</v>
      </c>
      <c r="D4" s="4"/>
      <c r="E4" s="9">
        <v>46051</v>
      </c>
      <c r="F4" s="6" t="s">
        <v>10</v>
      </c>
      <c r="G4" s="7">
        <v>70</v>
      </c>
      <c r="H4" s="8">
        <v>454</v>
      </c>
      <c r="I4" s="4" t="str">
        <f>VLOOKUP(H4,[1]policlin!B:C,2,1)</f>
        <v>CAP II CHILCA</v>
      </c>
      <c r="J4" s="7">
        <v>23275072</v>
      </c>
      <c r="K4" s="7" t="s">
        <v>8</v>
      </c>
    </row>
    <row r="5" spans="1:11" x14ac:dyDescent="0.2">
      <c r="A5" s="4">
        <f t="shared" si="0"/>
        <v>4</v>
      </c>
      <c r="B5" s="4"/>
      <c r="C5" s="4"/>
      <c r="D5" s="4"/>
      <c r="E5" s="6" t="s">
        <v>397</v>
      </c>
      <c r="F5" s="6" t="s">
        <v>11</v>
      </c>
      <c r="G5" s="7">
        <v>77</v>
      </c>
      <c r="H5" s="8">
        <v>431</v>
      </c>
      <c r="I5" s="4" t="str">
        <f>VLOOKUP(H5,[1]policlin!B:C,2,1)</f>
        <v>POLI. METROPOLITANO HUANCAYO</v>
      </c>
      <c r="J5" s="7">
        <v>19930676</v>
      </c>
      <c r="K5" s="7" t="s">
        <v>8</v>
      </c>
    </row>
    <row r="6" spans="1:11" x14ac:dyDescent="0.2">
      <c r="A6" s="4">
        <f t="shared" si="0"/>
        <v>5</v>
      </c>
      <c r="B6" s="4"/>
      <c r="C6" s="4"/>
      <c r="D6" s="4"/>
      <c r="E6" s="9">
        <v>46051</v>
      </c>
      <c r="F6" s="6" t="s">
        <v>12</v>
      </c>
      <c r="G6" s="7">
        <v>69</v>
      </c>
      <c r="H6" s="8">
        <v>431</v>
      </c>
      <c r="I6" s="4" t="str">
        <f>VLOOKUP(H6,[1]policlin!B:C,2,1)</f>
        <v>POLI. METROPOLITANO HUANCAYO</v>
      </c>
      <c r="J6" s="7">
        <v>28223189</v>
      </c>
      <c r="K6" s="7" t="s">
        <v>8</v>
      </c>
    </row>
    <row r="7" spans="1:11" x14ac:dyDescent="0.2">
      <c r="A7" s="4">
        <f t="shared" si="0"/>
        <v>6</v>
      </c>
      <c r="B7" s="4"/>
      <c r="C7" s="4"/>
      <c r="D7" s="4"/>
      <c r="E7" s="9">
        <v>46048</v>
      </c>
      <c r="F7" s="6" t="s">
        <v>13</v>
      </c>
      <c r="G7" s="7">
        <v>69</v>
      </c>
      <c r="H7" s="8">
        <v>312</v>
      </c>
      <c r="I7" s="4" t="str">
        <f>VLOOKUP(H7,[1]policlin!B:C,2,1)</f>
        <v>C. M. CONCEPCION</v>
      </c>
      <c r="J7" s="7">
        <v>20423763</v>
      </c>
      <c r="K7" s="7" t="s">
        <v>8</v>
      </c>
    </row>
    <row r="8" spans="1:11" x14ac:dyDescent="0.2">
      <c r="A8" s="4">
        <f t="shared" si="0"/>
        <v>7</v>
      </c>
      <c r="B8" s="4"/>
      <c r="C8" s="4"/>
      <c r="D8" s="4"/>
      <c r="E8" s="9">
        <v>46034</v>
      </c>
      <c r="F8" s="6" t="s">
        <v>14</v>
      </c>
      <c r="G8" s="7">
        <v>64</v>
      </c>
      <c r="H8" s="8">
        <v>494</v>
      </c>
      <c r="I8" s="4" t="str">
        <f>VLOOKUP(H8,[1]policlin!B:C,2,1)</f>
        <v>CAP III MANTARO</v>
      </c>
      <c r="J8" s="7">
        <v>19917970</v>
      </c>
      <c r="K8" s="7" t="s">
        <v>8</v>
      </c>
    </row>
    <row r="9" spans="1:11" x14ac:dyDescent="0.2">
      <c r="A9" s="4">
        <f t="shared" si="0"/>
        <v>8</v>
      </c>
      <c r="B9" s="4"/>
      <c r="C9" s="4"/>
      <c r="D9" s="5">
        <v>46072</v>
      </c>
      <c r="E9" s="9">
        <v>46051</v>
      </c>
      <c r="F9" s="6" t="s">
        <v>15</v>
      </c>
      <c r="G9" s="7">
        <v>80</v>
      </c>
      <c r="H9" s="8">
        <v>494</v>
      </c>
      <c r="I9" s="4" t="str">
        <f>VLOOKUP(H9,[1]policlin!B:C,2,1)</f>
        <v>CAP III MANTARO</v>
      </c>
      <c r="J9" s="7">
        <v>23714215</v>
      </c>
      <c r="K9" s="7" t="s">
        <v>8</v>
      </c>
    </row>
    <row r="10" spans="1:11" x14ac:dyDescent="0.2">
      <c r="A10" s="4">
        <f t="shared" si="0"/>
        <v>9</v>
      </c>
      <c r="B10" s="4"/>
      <c r="C10" s="5">
        <v>46111</v>
      </c>
      <c r="D10" s="4"/>
      <c r="E10" s="6"/>
      <c r="F10" s="6" t="s">
        <v>16</v>
      </c>
      <c r="G10" s="7">
        <v>64</v>
      </c>
      <c r="H10" s="8">
        <v>494</v>
      </c>
      <c r="I10" s="4" t="str">
        <f>VLOOKUP(H10,[1]policlin!B:C,2,1)</f>
        <v>CAP III MANTARO</v>
      </c>
      <c r="J10" s="7">
        <v>19847248</v>
      </c>
      <c r="K10" s="7" t="s">
        <v>8</v>
      </c>
    </row>
    <row r="11" spans="1:11" x14ac:dyDescent="0.2">
      <c r="A11" s="4">
        <f t="shared" si="0"/>
        <v>10</v>
      </c>
      <c r="B11" s="4"/>
      <c r="C11" s="4"/>
      <c r="D11" s="4"/>
      <c r="E11" s="9">
        <v>46049</v>
      </c>
      <c r="F11" s="6" t="s">
        <v>17</v>
      </c>
      <c r="G11" s="7">
        <v>82</v>
      </c>
      <c r="H11" s="8">
        <v>311</v>
      </c>
      <c r="I11" s="4" t="str">
        <f>VLOOKUP(H11,[1]policlin!B:C,2,1)</f>
        <v>POLI. JAUJA</v>
      </c>
      <c r="J11" s="7">
        <v>20708412</v>
      </c>
      <c r="K11" s="7" t="s">
        <v>8</v>
      </c>
    </row>
    <row r="12" spans="1:11" x14ac:dyDescent="0.2">
      <c r="A12" s="4">
        <f t="shared" si="0"/>
        <v>11</v>
      </c>
      <c r="B12" s="4"/>
      <c r="C12" s="4"/>
      <c r="D12" s="4"/>
      <c r="E12" s="6" t="s">
        <v>398</v>
      </c>
      <c r="F12" s="6" t="s">
        <v>19</v>
      </c>
      <c r="G12" s="7">
        <v>82</v>
      </c>
      <c r="H12" s="8">
        <v>348</v>
      </c>
      <c r="I12" s="4" t="str">
        <f>VLOOKUP(H12,[1]policlin!B:C,2,1)</f>
        <v>C. M. PAMPAS-TAYACAJA</v>
      </c>
      <c r="J12" s="7">
        <v>23641750</v>
      </c>
      <c r="K12" s="7" t="s">
        <v>8</v>
      </c>
    </row>
    <row r="13" spans="1:11" x14ac:dyDescent="0.2">
      <c r="A13" s="4">
        <f t="shared" si="0"/>
        <v>12</v>
      </c>
      <c r="B13" s="4"/>
      <c r="C13" s="4"/>
      <c r="D13" s="5">
        <v>46078</v>
      </c>
      <c r="E13" s="11"/>
      <c r="F13" s="6" t="s">
        <v>20</v>
      </c>
      <c r="G13" s="7">
        <v>74</v>
      </c>
      <c r="H13" s="8">
        <v>494</v>
      </c>
      <c r="I13" s="4" t="str">
        <f>VLOOKUP(H13,[1]policlin!B:C,2,1)</f>
        <v>CAP III MANTARO</v>
      </c>
      <c r="J13" s="7">
        <v>23208016</v>
      </c>
      <c r="K13" s="7" t="s">
        <v>8</v>
      </c>
    </row>
    <row r="14" spans="1:11" x14ac:dyDescent="0.2">
      <c r="A14" s="4">
        <f t="shared" si="0"/>
        <v>13</v>
      </c>
      <c r="B14" s="4"/>
      <c r="C14" s="4"/>
      <c r="D14" s="4"/>
      <c r="E14" s="9">
        <v>46045</v>
      </c>
      <c r="F14" s="6" t="s">
        <v>21</v>
      </c>
      <c r="G14" s="7">
        <v>70</v>
      </c>
      <c r="H14" s="8">
        <v>431</v>
      </c>
      <c r="I14" s="4" t="str">
        <f>VLOOKUP(H14,[1]policlin!B:C,2,1)</f>
        <v>POLI. METROPOLITANO HUANCAYO</v>
      </c>
      <c r="J14" s="7">
        <v>23678947</v>
      </c>
      <c r="K14" s="7" t="s">
        <v>8</v>
      </c>
    </row>
    <row r="15" spans="1:11" x14ac:dyDescent="0.2">
      <c r="A15" s="4">
        <f t="shared" si="0"/>
        <v>14</v>
      </c>
      <c r="B15" s="4"/>
      <c r="C15" s="4"/>
      <c r="D15" s="4"/>
      <c r="E15" s="9">
        <v>46051</v>
      </c>
      <c r="F15" s="6" t="s">
        <v>22</v>
      </c>
      <c r="G15" s="7">
        <v>68</v>
      </c>
      <c r="H15" s="8">
        <v>454</v>
      </c>
      <c r="I15" s="4" t="str">
        <f>VLOOKUP(H15,[1]policlin!B:C,2,1)</f>
        <v>CAP II CHILCA</v>
      </c>
      <c r="J15" s="7">
        <v>19858256</v>
      </c>
      <c r="K15" s="7" t="s">
        <v>8</v>
      </c>
    </row>
    <row r="16" spans="1:11" x14ac:dyDescent="0.2">
      <c r="A16" s="4">
        <f t="shared" si="0"/>
        <v>15</v>
      </c>
      <c r="B16" s="4" t="s">
        <v>400</v>
      </c>
      <c r="C16" s="4"/>
      <c r="D16" s="4"/>
      <c r="E16" s="6" t="s">
        <v>399</v>
      </c>
      <c r="F16" s="6" t="s">
        <v>24</v>
      </c>
      <c r="G16" s="7">
        <v>93</v>
      </c>
      <c r="H16" s="8">
        <v>504</v>
      </c>
      <c r="I16" s="4" t="str">
        <f>VLOOKUP(H16,[1]policlin!B:C,2,1)</f>
        <v>CAP II CHUPACA</v>
      </c>
      <c r="J16" s="7">
        <v>19904015</v>
      </c>
      <c r="K16" s="7" t="s">
        <v>8</v>
      </c>
    </row>
    <row r="17" spans="1:11" x14ac:dyDescent="0.2">
      <c r="A17" s="4">
        <f t="shared" si="0"/>
        <v>16</v>
      </c>
      <c r="B17" s="4"/>
      <c r="C17" s="4"/>
      <c r="D17" s="5">
        <v>46079</v>
      </c>
      <c r="E17" s="9">
        <v>46051</v>
      </c>
      <c r="F17" s="6" t="s">
        <v>25</v>
      </c>
      <c r="G17" s="7">
        <v>70</v>
      </c>
      <c r="H17" s="8">
        <v>454</v>
      </c>
      <c r="I17" s="4" t="str">
        <f>VLOOKUP(H17,[1]policlin!B:C,2,1)</f>
        <v>CAP II CHILCA</v>
      </c>
      <c r="J17" s="7">
        <v>6563617</v>
      </c>
      <c r="K17" s="7" t="s">
        <v>8</v>
      </c>
    </row>
    <row r="18" spans="1:11" x14ac:dyDescent="0.2">
      <c r="A18" s="4">
        <f t="shared" si="0"/>
        <v>17</v>
      </c>
      <c r="B18" s="4"/>
      <c r="C18" s="4"/>
      <c r="D18" s="5">
        <v>46079</v>
      </c>
      <c r="E18" s="11"/>
      <c r="F18" s="6" t="s">
        <v>26</v>
      </c>
      <c r="G18" s="7">
        <v>81</v>
      </c>
      <c r="H18" s="8">
        <v>454</v>
      </c>
      <c r="I18" s="4" t="str">
        <f>VLOOKUP(H18,[1]policlin!B:C,2,1)</f>
        <v>CAP II CHILCA</v>
      </c>
      <c r="J18" s="7">
        <v>19817681</v>
      </c>
      <c r="K18" s="7" t="s">
        <v>8</v>
      </c>
    </row>
    <row r="19" spans="1:11" x14ac:dyDescent="0.2">
      <c r="A19" s="4">
        <f t="shared" si="0"/>
        <v>18</v>
      </c>
      <c r="B19" s="4" t="s">
        <v>401</v>
      </c>
      <c r="C19" s="4"/>
      <c r="D19" s="5">
        <v>46065</v>
      </c>
      <c r="E19" s="11"/>
      <c r="F19" s="6" t="s">
        <v>27</v>
      </c>
      <c r="G19" s="7">
        <v>49</v>
      </c>
      <c r="H19" s="8">
        <v>431</v>
      </c>
      <c r="I19" s="4" t="str">
        <f>VLOOKUP(H19,[1]policlin!B:C,2,1)</f>
        <v>POLI. METROPOLITANO HUANCAYO</v>
      </c>
      <c r="J19" s="7">
        <v>20074087</v>
      </c>
      <c r="K19" s="7" t="s">
        <v>8</v>
      </c>
    </row>
    <row r="20" spans="1:11" x14ac:dyDescent="0.2">
      <c r="A20" s="4">
        <f t="shared" si="0"/>
        <v>19</v>
      </c>
      <c r="B20" s="4"/>
      <c r="C20" s="5">
        <v>46100</v>
      </c>
      <c r="D20" s="5">
        <v>46079</v>
      </c>
      <c r="E20" s="11"/>
      <c r="F20" s="6" t="s">
        <v>28</v>
      </c>
      <c r="G20" s="7">
        <v>43</v>
      </c>
      <c r="H20" s="8">
        <v>313</v>
      </c>
      <c r="I20" s="4" t="str">
        <f>VLOOKUP(H20,[1]policlin!B:C,2,1)</f>
        <v>HOSP.SELVA CENTRAL -LA MERCED</v>
      </c>
      <c r="J20" s="7">
        <v>41275200</v>
      </c>
      <c r="K20" s="7" t="s">
        <v>8</v>
      </c>
    </row>
    <row r="21" spans="1:11" x14ac:dyDescent="0.2">
      <c r="A21" s="4">
        <f t="shared" si="0"/>
        <v>20</v>
      </c>
      <c r="B21" s="4"/>
      <c r="C21" s="4"/>
      <c r="D21" s="5">
        <v>46058</v>
      </c>
      <c r="E21" s="11"/>
      <c r="F21" s="6" t="s">
        <v>29</v>
      </c>
      <c r="G21" s="7">
        <v>85</v>
      </c>
      <c r="H21" s="8">
        <v>431</v>
      </c>
      <c r="I21" s="4" t="str">
        <f>VLOOKUP(H21,[1]policlin!B:C,2,1)</f>
        <v>POLI. METROPOLITANO HUANCAYO</v>
      </c>
      <c r="J21" s="7">
        <v>19825041</v>
      </c>
      <c r="K21" s="7" t="s">
        <v>8</v>
      </c>
    </row>
    <row r="22" spans="1:11" x14ac:dyDescent="0.2">
      <c r="A22" s="4">
        <f t="shared" si="0"/>
        <v>21</v>
      </c>
      <c r="B22" s="4"/>
      <c r="C22" s="4"/>
      <c r="D22" s="5">
        <v>46065</v>
      </c>
      <c r="E22" s="11"/>
      <c r="F22" s="6" t="s">
        <v>30</v>
      </c>
      <c r="G22" s="7">
        <v>72</v>
      </c>
      <c r="H22" s="8">
        <v>454</v>
      </c>
      <c r="I22" s="4" t="str">
        <f>VLOOKUP(H22,[1]policlin!B:C,2,1)</f>
        <v>CAP II CHILCA</v>
      </c>
      <c r="J22" s="7">
        <v>19864802</v>
      </c>
      <c r="K22" s="7" t="s">
        <v>8</v>
      </c>
    </row>
    <row r="23" spans="1:11" x14ac:dyDescent="0.2">
      <c r="A23" s="4">
        <f t="shared" si="0"/>
        <v>22</v>
      </c>
      <c r="B23" s="4"/>
      <c r="C23" s="4"/>
      <c r="D23" s="4"/>
      <c r="E23" s="6" t="s">
        <v>402</v>
      </c>
      <c r="F23" s="6" t="s">
        <v>31</v>
      </c>
      <c r="G23" s="7">
        <v>92</v>
      </c>
      <c r="H23" s="8">
        <v>454</v>
      </c>
      <c r="I23" s="4" t="s">
        <v>32</v>
      </c>
      <c r="J23" s="7">
        <v>20058727</v>
      </c>
      <c r="K23" s="7" t="s">
        <v>8</v>
      </c>
    </row>
    <row r="24" spans="1:11" x14ac:dyDescent="0.2">
      <c r="A24" s="4">
        <f t="shared" si="0"/>
        <v>23</v>
      </c>
      <c r="B24" s="4" t="s">
        <v>400</v>
      </c>
      <c r="C24" s="4"/>
      <c r="D24" s="4"/>
      <c r="E24" s="6" t="s">
        <v>403</v>
      </c>
      <c r="F24" s="6" t="s">
        <v>33</v>
      </c>
      <c r="G24" s="7">
        <v>60</v>
      </c>
      <c r="H24" s="8">
        <v>325</v>
      </c>
      <c r="I24" s="4" t="str">
        <f>VLOOKUP(H24,[1]policlin!B:C,2,1)</f>
        <v>HOSP. II PASCO</v>
      </c>
      <c r="J24" s="7">
        <v>4043569</v>
      </c>
      <c r="K24" s="7" t="s">
        <v>8</v>
      </c>
    </row>
    <row r="25" spans="1:11" x14ac:dyDescent="0.2">
      <c r="A25" s="4">
        <f t="shared" si="0"/>
        <v>24</v>
      </c>
      <c r="B25" s="4"/>
      <c r="C25" s="4"/>
      <c r="D25" s="5">
        <v>46078</v>
      </c>
      <c r="E25" s="11"/>
      <c r="F25" s="6" t="s">
        <v>34</v>
      </c>
      <c r="G25" s="7">
        <v>50</v>
      </c>
      <c r="H25" s="8">
        <v>431</v>
      </c>
      <c r="I25" s="4" t="str">
        <f>VLOOKUP(H25,[1]policlin!B:C,2,1)</f>
        <v>POLI. METROPOLITANO HUANCAYO</v>
      </c>
      <c r="J25" s="7">
        <v>19961010</v>
      </c>
      <c r="K25" s="7" t="s">
        <v>8</v>
      </c>
    </row>
    <row r="26" spans="1:11" x14ac:dyDescent="0.2">
      <c r="A26" s="4">
        <f t="shared" si="0"/>
        <v>25</v>
      </c>
      <c r="B26" s="4"/>
      <c r="C26" s="4"/>
      <c r="D26" s="4"/>
      <c r="E26" s="6" t="s">
        <v>397</v>
      </c>
      <c r="F26" s="6" t="s">
        <v>35</v>
      </c>
      <c r="G26" s="7">
        <v>69</v>
      </c>
      <c r="H26" s="8">
        <v>494</v>
      </c>
      <c r="I26" s="4" t="str">
        <f>VLOOKUP(H26,[1]policlin!B:C,2,1)</f>
        <v>CAP III MANTARO</v>
      </c>
      <c r="J26" s="7">
        <v>19810324</v>
      </c>
      <c r="K26" s="7" t="s">
        <v>8</v>
      </c>
    </row>
    <row r="27" spans="1:11" x14ac:dyDescent="0.2">
      <c r="A27" s="4">
        <f t="shared" si="0"/>
        <v>26</v>
      </c>
      <c r="B27" s="4"/>
      <c r="C27" s="4"/>
      <c r="D27" s="4"/>
      <c r="E27" s="9">
        <v>46048</v>
      </c>
      <c r="F27" s="6" t="s">
        <v>36</v>
      </c>
      <c r="G27" s="7">
        <v>86</v>
      </c>
      <c r="H27" s="8">
        <v>454</v>
      </c>
      <c r="I27" s="4" t="str">
        <f>VLOOKUP(H27,[1]policlin!B:C,2,1)</f>
        <v>CAP II CHILCA</v>
      </c>
      <c r="J27" s="7">
        <v>19820176</v>
      </c>
      <c r="K27" s="7" t="s">
        <v>8</v>
      </c>
    </row>
    <row r="28" spans="1:11" x14ac:dyDescent="0.2">
      <c r="A28" s="4">
        <f t="shared" si="0"/>
        <v>27</v>
      </c>
      <c r="B28" s="4"/>
      <c r="C28" s="4"/>
      <c r="D28" s="4"/>
      <c r="E28" s="6" t="s">
        <v>403</v>
      </c>
      <c r="F28" s="6" t="s">
        <v>37</v>
      </c>
      <c r="G28" s="7">
        <v>87</v>
      </c>
      <c r="H28" s="8">
        <v>431</v>
      </c>
      <c r="I28" s="4" t="str">
        <f>VLOOKUP(H28,[1]policlin!B:C,2,1)</f>
        <v>POLI. METROPOLITANO HUANCAYO</v>
      </c>
      <c r="J28" s="7">
        <v>4029555</v>
      </c>
      <c r="K28" s="7" t="s">
        <v>8</v>
      </c>
    </row>
    <row r="29" spans="1:11" x14ac:dyDescent="0.2">
      <c r="A29" s="4">
        <f t="shared" si="0"/>
        <v>28</v>
      </c>
      <c r="B29" s="4"/>
      <c r="C29" s="4"/>
      <c r="D29" s="5">
        <v>46079</v>
      </c>
      <c r="E29" s="9">
        <v>46051</v>
      </c>
      <c r="F29" s="6" t="s">
        <v>38</v>
      </c>
      <c r="G29" s="7">
        <v>84</v>
      </c>
      <c r="H29" s="8">
        <v>494</v>
      </c>
      <c r="I29" s="4" t="str">
        <f>VLOOKUP(H29,[1]policlin!B:C,2,1)</f>
        <v>CAP III MANTARO</v>
      </c>
      <c r="J29" s="7">
        <v>21246203</v>
      </c>
      <c r="K29" s="7" t="s">
        <v>8</v>
      </c>
    </row>
    <row r="30" spans="1:11" x14ac:dyDescent="0.2">
      <c r="A30" s="4">
        <f t="shared" si="0"/>
        <v>29</v>
      </c>
      <c r="B30" s="4"/>
      <c r="C30" s="5">
        <v>46086</v>
      </c>
      <c r="D30" s="5">
        <v>46058</v>
      </c>
      <c r="E30" s="11"/>
      <c r="F30" s="6" t="s">
        <v>39</v>
      </c>
      <c r="G30" s="7">
        <v>60</v>
      </c>
      <c r="H30" s="8">
        <v>454</v>
      </c>
      <c r="I30" s="4" t="str">
        <f>VLOOKUP(H30,[1]policlin!B:C,2,1)</f>
        <v>CAP II CHILCA</v>
      </c>
      <c r="J30" s="7">
        <v>19803596</v>
      </c>
      <c r="K30" s="7" t="s">
        <v>8</v>
      </c>
    </row>
    <row r="31" spans="1:11" x14ac:dyDescent="0.2">
      <c r="A31" s="4">
        <f t="shared" si="0"/>
        <v>30</v>
      </c>
      <c r="B31" s="4"/>
      <c r="C31" s="4"/>
      <c r="D31" s="12">
        <v>46058</v>
      </c>
      <c r="E31" s="4"/>
      <c r="F31" s="6" t="s">
        <v>40</v>
      </c>
      <c r="G31" s="7">
        <v>82</v>
      </c>
      <c r="H31" s="8">
        <v>431</v>
      </c>
      <c r="I31" s="4" t="str">
        <f>VLOOKUP(H31,[1]policlin!B:C,2,1)</f>
        <v>POLI. METROPOLITANO HUANCAYO</v>
      </c>
      <c r="J31" s="7">
        <v>20011365</v>
      </c>
      <c r="K31" s="7" t="s">
        <v>8</v>
      </c>
    </row>
    <row r="32" spans="1:11" x14ac:dyDescent="0.2">
      <c r="A32" s="4">
        <f t="shared" si="0"/>
        <v>31</v>
      </c>
      <c r="B32" s="4"/>
      <c r="C32" s="4"/>
      <c r="D32" s="12">
        <v>46065</v>
      </c>
      <c r="E32" s="4"/>
      <c r="F32" s="6" t="s">
        <v>41</v>
      </c>
      <c r="G32" s="7">
        <v>69</v>
      </c>
      <c r="H32" s="8">
        <v>431</v>
      </c>
      <c r="I32" s="4" t="str">
        <f>VLOOKUP(H32,[1]policlin!B:C,2,1)</f>
        <v>POLI. METROPOLITANO HUANCAYO</v>
      </c>
      <c r="J32" s="7">
        <v>4217733</v>
      </c>
      <c r="K32" s="7" t="s">
        <v>8</v>
      </c>
    </row>
    <row r="33" spans="1:11" x14ac:dyDescent="0.2">
      <c r="A33" s="4">
        <f t="shared" si="0"/>
        <v>32</v>
      </c>
      <c r="B33" s="4"/>
      <c r="C33" s="4"/>
      <c r="D33" s="13"/>
      <c r="E33" s="6" t="s">
        <v>42</v>
      </c>
      <c r="F33" s="6" t="s">
        <v>43</v>
      </c>
      <c r="G33" s="7">
        <v>71</v>
      </c>
      <c r="H33" s="8">
        <v>334</v>
      </c>
      <c r="I33" s="4" t="str">
        <f>VLOOKUP(H33,[1]policlin!B:C,2,1)</f>
        <v>HOSP. I OXAPAMPA</v>
      </c>
      <c r="J33" s="7">
        <v>4305500</v>
      </c>
      <c r="K33" s="7" t="s">
        <v>8</v>
      </c>
    </row>
    <row r="34" spans="1:11" x14ac:dyDescent="0.2">
      <c r="A34" s="4">
        <f t="shared" si="0"/>
        <v>33</v>
      </c>
      <c r="B34" s="4"/>
      <c r="C34" s="5">
        <v>46086</v>
      </c>
      <c r="D34" s="12">
        <v>46058</v>
      </c>
      <c r="E34" s="4"/>
      <c r="F34" s="6" t="s">
        <v>44</v>
      </c>
      <c r="G34" s="7">
        <v>59</v>
      </c>
      <c r="H34" s="8">
        <v>431</v>
      </c>
      <c r="I34" s="4" t="str">
        <f>VLOOKUP(H34,[1]policlin!B:C,2,1)</f>
        <v>POLI. METROPOLITANO HUANCAYO</v>
      </c>
      <c r="J34" s="7">
        <v>19801801</v>
      </c>
      <c r="K34" s="7" t="s">
        <v>8</v>
      </c>
    </row>
    <row r="35" spans="1:11" x14ac:dyDescent="0.2">
      <c r="A35" s="4">
        <f t="shared" si="0"/>
        <v>34</v>
      </c>
      <c r="B35" s="5">
        <v>46107</v>
      </c>
      <c r="C35" s="5">
        <v>46093</v>
      </c>
      <c r="D35" s="4"/>
      <c r="E35" s="6"/>
      <c r="F35" s="6" t="s">
        <v>45</v>
      </c>
      <c r="G35" s="7">
        <v>65</v>
      </c>
      <c r="H35" s="8">
        <v>310</v>
      </c>
      <c r="I35" s="4" t="str">
        <f>VLOOKUP(H35,[1]policlin!B:C,2,1)</f>
        <v>HOSP. I TARMA</v>
      </c>
      <c r="J35" s="7">
        <v>21063756</v>
      </c>
      <c r="K35" s="7" t="s">
        <v>8</v>
      </c>
    </row>
    <row r="36" spans="1:11" x14ac:dyDescent="0.2">
      <c r="A36" s="4">
        <f t="shared" si="0"/>
        <v>35</v>
      </c>
      <c r="B36" s="4"/>
      <c r="C36" s="4"/>
      <c r="D36" s="4"/>
      <c r="E36" s="6" t="s">
        <v>398</v>
      </c>
      <c r="F36" s="6" t="s">
        <v>46</v>
      </c>
      <c r="G36" s="7">
        <v>61</v>
      </c>
      <c r="H36" s="8">
        <v>431</v>
      </c>
      <c r="I36" s="4" t="str">
        <f>VLOOKUP(H36,[1]policlin!B:C,2,1)</f>
        <v>POLI. METROPOLITANO HUANCAYO</v>
      </c>
      <c r="J36" s="7">
        <v>20881484</v>
      </c>
      <c r="K36" s="7" t="s">
        <v>8</v>
      </c>
    </row>
    <row r="37" spans="1:11" x14ac:dyDescent="0.2">
      <c r="A37" s="4">
        <f t="shared" si="0"/>
        <v>36</v>
      </c>
      <c r="B37" s="4" t="s">
        <v>400</v>
      </c>
      <c r="C37" s="4"/>
      <c r="D37" s="4"/>
      <c r="E37" s="6" t="s">
        <v>398</v>
      </c>
      <c r="F37" s="6" t="s">
        <v>47</v>
      </c>
      <c r="G37" s="7">
        <v>75</v>
      </c>
      <c r="H37" s="8">
        <v>313</v>
      </c>
      <c r="I37" s="4" t="str">
        <f>VLOOKUP(H37,[1]policlin!B:C,2,1)</f>
        <v>HOSP.SELVA CENTRAL -LA MERCED</v>
      </c>
      <c r="J37" s="7">
        <v>20591735</v>
      </c>
      <c r="K37" s="7" t="s">
        <v>8</v>
      </c>
    </row>
    <row r="38" spans="1:11" x14ac:dyDescent="0.2">
      <c r="A38" s="4">
        <f t="shared" si="0"/>
        <v>37</v>
      </c>
      <c r="B38" s="4"/>
      <c r="C38" s="4"/>
      <c r="D38" s="5">
        <v>46072</v>
      </c>
      <c r="E38" s="6"/>
      <c r="F38" s="6" t="s">
        <v>48</v>
      </c>
      <c r="G38" s="7">
        <v>89</v>
      </c>
      <c r="H38" s="8">
        <v>431</v>
      </c>
      <c r="I38" s="4" t="str">
        <f>VLOOKUP(H38,[1]policlin!B:C,2,1)</f>
        <v>POLI. METROPOLITANO HUANCAYO</v>
      </c>
      <c r="J38" s="7">
        <v>19862532</v>
      </c>
      <c r="K38" s="7" t="s">
        <v>8</v>
      </c>
    </row>
    <row r="39" spans="1:11" x14ac:dyDescent="0.2">
      <c r="A39" s="4">
        <f t="shared" si="0"/>
        <v>38</v>
      </c>
      <c r="B39" s="4"/>
      <c r="C39" s="4"/>
      <c r="D39" s="5">
        <v>46072</v>
      </c>
      <c r="E39" s="6"/>
      <c r="F39" s="6" t="s">
        <v>49</v>
      </c>
      <c r="G39" s="7">
        <v>51</v>
      </c>
      <c r="H39" s="8">
        <v>494</v>
      </c>
      <c r="I39" s="4" t="str">
        <f>VLOOKUP(H39,[1]policlin!B:C,2,1)</f>
        <v>CAP III MANTARO</v>
      </c>
      <c r="J39" s="7">
        <v>20087928</v>
      </c>
      <c r="K39" s="7" t="s">
        <v>8</v>
      </c>
    </row>
    <row r="40" spans="1:11" x14ac:dyDescent="0.2">
      <c r="A40" s="4">
        <f t="shared" si="0"/>
        <v>39</v>
      </c>
      <c r="B40" s="4"/>
      <c r="C40" s="4"/>
      <c r="D40" s="5">
        <v>46079</v>
      </c>
      <c r="E40" s="6"/>
      <c r="F40" s="6" t="s">
        <v>50</v>
      </c>
      <c r="G40" s="7">
        <v>79</v>
      </c>
      <c r="H40" s="8">
        <v>431</v>
      </c>
      <c r="I40" s="4" t="str">
        <f>VLOOKUP(H40,[1]policlin!B:C,2,1)</f>
        <v>POLI. METROPOLITANO HUANCAYO</v>
      </c>
      <c r="J40" s="7">
        <v>19976841</v>
      </c>
      <c r="K40" s="7" t="s">
        <v>8</v>
      </c>
    </row>
    <row r="41" spans="1:11" x14ac:dyDescent="0.2">
      <c r="A41" s="4">
        <f t="shared" si="0"/>
        <v>40</v>
      </c>
      <c r="B41" s="4"/>
      <c r="C41" s="4"/>
      <c r="D41" s="5">
        <v>46072</v>
      </c>
      <c r="E41" s="6"/>
      <c r="F41" s="6" t="s">
        <v>51</v>
      </c>
      <c r="G41" s="7">
        <v>81</v>
      </c>
      <c r="H41" s="8">
        <v>311</v>
      </c>
      <c r="I41" s="4" t="str">
        <f>VLOOKUP(H41,[1]policlin!B:C,2,1)</f>
        <v>POLI. JAUJA</v>
      </c>
      <c r="J41" s="7">
        <v>20663599</v>
      </c>
      <c r="K41" s="7" t="s">
        <v>8</v>
      </c>
    </row>
    <row r="42" spans="1:11" x14ac:dyDescent="0.2">
      <c r="A42" s="4">
        <f t="shared" si="0"/>
        <v>41</v>
      </c>
      <c r="B42" s="4"/>
      <c r="C42" s="4"/>
      <c r="D42" s="5">
        <v>46072</v>
      </c>
      <c r="E42" s="6"/>
      <c r="F42" s="6" t="s">
        <v>52</v>
      </c>
      <c r="G42" s="7">
        <v>69</v>
      </c>
      <c r="H42" s="8">
        <v>431</v>
      </c>
      <c r="I42" s="4" t="str">
        <f>VLOOKUP(H42,[1]policlin!B:C,2,1)</f>
        <v>POLI. METROPOLITANO HUANCAYO</v>
      </c>
      <c r="J42" s="7">
        <v>19931503</v>
      </c>
      <c r="K42" s="7" t="s">
        <v>8</v>
      </c>
    </row>
    <row r="43" spans="1:11" x14ac:dyDescent="0.2">
      <c r="A43" s="4">
        <f t="shared" si="0"/>
        <v>42</v>
      </c>
      <c r="B43" s="4"/>
      <c r="C43" s="4"/>
      <c r="D43" s="12">
        <v>46079</v>
      </c>
      <c r="E43" s="4"/>
      <c r="F43" s="6" t="s">
        <v>53</v>
      </c>
      <c r="G43" s="7">
        <v>43</v>
      </c>
      <c r="H43" s="8">
        <v>325</v>
      </c>
      <c r="I43" s="4" t="str">
        <f>VLOOKUP(H43,[1]policlin!B:C,2,1)</f>
        <v>HOSP. II PASCO</v>
      </c>
      <c r="J43" s="7">
        <v>41120778</v>
      </c>
      <c r="K43" s="7" t="s">
        <v>8</v>
      </c>
    </row>
    <row r="44" spans="1:11" x14ac:dyDescent="0.2">
      <c r="A44" s="4">
        <f t="shared" si="0"/>
        <v>43</v>
      </c>
      <c r="B44" s="4"/>
      <c r="C44" s="4"/>
      <c r="D44" s="4"/>
      <c r="E44" s="12">
        <v>46037</v>
      </c>
      <c r="F44" s="6" t="s">
        <v>54</v>
      </c>
      <c r="G44" s="7">
        <v>51</v>
      </c>
      <c r="H44" s="8">
        <v>313</v>
      </c>
      <c r="I44" s="4" t="str">
        <f>VLOOKUP(H44,[1]policlin!B:C,2,1)</f>
        <v>HOSP.SELVA CENTRAL -LA MERCED</v>
      </c>
      <c r="J44" s="7">
        <v>2434327</v>
      </c>
      <c r="K44" s="7" t="s">
        <v>8</v>
      </c>
    </row>
    <row r="45" spans="1:11" x14ac:dyDescent="0.2">
      <c r="A45" s="4">
        <f t="shared" si="0"/>
        <v>44</v>
      </c>
      <c r="B45" s="4"/>
      <c r="C45" s="4"/>
      <c r="D45" s="4"/>
      <c r="E45" s="9">
        <v>46027</v>
      </c>
      <c r="F45" s="6" t="s">
        <v>55</v>
      </c>
      <c r="G45" s="7">
        <v>79</v>
      </c>
      <c r="H45" s="8">
        <v>431</v>
      </c>
      <c r="I45" s="4" t="str">
        <f>VLOOKUP(H45,[1]policlin!B:C,2,1)</f>
        <v>POLI. METROPOLITANO HUANCAYO</v>
      </c>
      <c r="J45" s="7">
        <v>21249160</v>
      </c>
      <c r="K45" s="7" t="s">
        <v>8</v>
      </c>
    </row>
    <row r="46" spans="1:11" x14ac:dyDescent="0.2">
      <c r="A46" s="4">
        <f t="shared" si="0"/>
        <v>45</v>
      </c>
      <c r="B46" s="4"/>
      <c r="C46" s="5">
        <v>46100</v>
      </c>
      <c r="D46" s="4"/>
      <c r="E46" s="6"/>
      <c r="F46" s="6" t="s">
        <v>56</v>
      </c>
      <c r="G46" s="7">
        <v>71</v>
      </c>
      <c r="H46" s="8">
        <v>431</v>
      </c>
      <c r="I46" s="4" t="str">
        <f>VLOOKUP(H46,[1]policlin!B:C,2,1)</f>
        <v>POLI. METROPOLITANO HUANCAYO</v>
      </c>
      <c r="J46" s="7">
        <v>20881001</v>
      </c>
      <c r="K46" s="7" t="s">
        <v>8</v>
      </c>
    </row>
    <row r="47" spans="1:11" x14ac:dyDescent="0.2">
      <c r="A47" s="4">
        <f t="shared" si="0"/>
        <v>46</v>
      </c>
      <c r="B47" s="4"/>
      <c r="C47" s="5">
        <v>46107</v>
      </c>
      <c r="D47" s="4"/>
      <c r="E47" s="6"/>
      <c r="F47" s="6" t="s">
        <v>57</v>
      </c>
      <c r="G47" s="7">
        <v>84</v>
      </c>
      <c r="H47" s="8">
        <v>431</v>
      </c>
      <c r="I47" s="4" t="str">
        <f>VLOOKUP(H47,[1]policlin!B:C,2,1)</f>
        <v>POLI. METROPOLITANO HUANCAYO</v>
      </c>
      <c r="J47" s="7">
        <v>20008655</v>
      </c>
      <c r="K47" s="7" t="s">
        <v>8</v>
      </c>
    </row>
    <row r="48" spans="1:11" x14ac:dyDescent="0.2">
      <c r="A48" s="4">
        <f t="shared" si="0"/>
        <v>47</v>
      </c>
      <c r="B48" s="4"/>
      <c r="C48" s="5">
        <v>46107</v>
      </c>
      <c r="D48" s="4"/>
      <c r="E48" s="6"/>
      <c r="F48" s="6" t="s">
        <v>58</v>
      </c>
      <c r="G48" s="7">
        <v>68</v>
      </c>
      <c r="H48" s="8">
        <v>494</v>
      </c>
      <c r="I48" s="4" t="str">
        <f>VLOOKUP(H48,[1]policlin!B:C,2,1)</f>
        <v>CAP III MANTARO</v>
      </c>
      <c r="J48" s="7">
        <v>19846274</v>
      </c>
      <c r="K48" s="7" t="s">
        <v>8</v>
      </c>
    </row>
    <row r="49" spans="1:11" x14ac:dyDescent="0.2">
      <c r="A49" s="4">
        <f t="shared" si="0"/>
        <v>48</v>
      </c>
      <c r="B49" s="4"/>
      <c r="C49" s="4"/>
      <c r="D49" s="4"/>
      <c r="E49" s="6" t="s">
        <v>404</v>
      </c>
      <c r="F49" s="6" t="s">
        <v>59</v>
      </c>
      <c r="G49" s="7">
        <v>73</v>
      </c>
      <c r="H49" s="8">
        <v>325</v>
      </c>
      <c r="I49" s="4" t="str">
        <f>VLOOKUP(H49,[1]policlin!B:C,2,1)</f>
        <v>HOSP. II PASCO</v>
      </c>
      <c r="J49" s="7">
        <v>4051769</v>
      </c>
      <c r="K49" s="7" t="s">
        <v>8</v>
      </c>
    </row>
    <row r="50" spans="1:11" x14ac:dyDescent="0.2">
      <c r="A50" s="4">
        <f t="shared" si="0"/>
        <v>49</v>
      </c>
      <c r="B50" s="4"/>
      <c r="C50" s="5">
        <v>46093</v>
      </c>
      <c r="D50" s="4"/>
      <c r="E50" s="6"/>
      <c r="F50" s="6" t="s">
        <v>60</v>
      </c>
      <c r="G50" s="7">
        <v>81</v>
      </c>
      <c r="H50" s="8">
        <v>494</v>
      </c>
      <c r="I50" s="4" t="str">
        <f>VLOOKUP(H50,[1]policlin!B:C,2,1)</f>
        <v>CAP III MANTARO</v>
      </c>
      <c r="J50" s="7">
        <v>19995113</v>
      </c>
      <c r="K50" s="7" t="s">
        <v>8</v>
      </c>
    </row>
    <row r="51" spans="1:11" x14ac:dyDescent="0.2">
      <c r="A51" s="4">
        <f t="shared" si="0"/>
        <v>50</v>
      </c>
      <c r="B51" s="4"/>
      <c r="C51" s="4"/>
      <c r="D51" s="4"/>
      <c r="E51" s="9">
        <v>46035</v>
      </c>
      <c r="F51" s="6" t="s">
        <v>61</v>
      </c>
      <c r="G51" s="7">
        <v>74</v>
      </c>
      <c r="H51" s="8">
        <v>431</v>
      </c>
      <c r="I51" s="4" t="str">
        <f>VLOOKUP(H51,[1]policlin!B:C,2,1)</f>
        <v>POLI. METROPOLITANO HUANCAYO</v>
      </c>
      <c r="J51" s="7">
        <v>19953058</v>
      </c>
      <c r="K51" s="7" t="s">
        <v>8</v>
      </c>
    </row>
    <row r="52" spans="1:11" x14ac:dyDescent="0.2">
      <c r="A52" s="4">
        <f t="shared" si="0"/>
        <v>51</v>
      </c>
      <c r="B52" s="4"/>
      <c r="C52" s="4"/>
      <c r="D52" s="4"/>
      <c r="E52" s="6" t="s">
        <v>405</v>
      </c>
      <c r="F52" s="6" t="s">
        <v>62</v>
      </c>
      <c r="G52" s="7">
        <v>62</v>
      </c>
      <c r="H52" s="8">
        <v>296</v>
      </c>
      <c r="I52" s="4" t="str">
        <f>VLOOKUP(H52,[1]policlin!B:C,2,1)</f>
        <v>HOSP. II HUANUCO</v>
      </c>
      <c r="J52" s="7">
        <v>993229</v>
      </c>
      <c r="K52" s="7" t="s">
        <v>8</v>
      </c>
    </row>
    <row r="53" spans="1:11" x14ac:dyDescent="0.2">
      <c r="A53" s="4">
        <f t="shared" si="0"/>
        <v>52</v>
      </c>
      <c r="B53" s="4"/>
      <c r="C53" s="4"/>
      <c r="D53" s="4"/>
      <c r="E53" s="12">
        <v>46048</v>
      </c>
      <c r="F53" s="6" t="s">
        <v>63</v>
      </c>
      <c r="G53" s="7">
        <v>77</v>
      </c>
      <c r="H53" s="8">
        <v>494</v>
      </c>
      <c r="I53" s="4" t="s">
        <v>64</v>
      </c>
      <c r="J53" s="7">
        <v>19830279</v>
      </c>
      <c r="K53" s="7" t="s">
        <v>8</v>
      </c>
    </row>
    <row r="54" spans="1:11" x14ac:dyDescent="0.2">
      <c r="A54" s="4">
        <f t="shared" si="0"/>
        <v>53</v>
      </c>
      <c r="B54" s="14">
        <v>46121</v>
      </c>
      <c r="C54" s="14">
        <v>46100</v>
      </c>
      <c r="D54" s="4"/>
      <c r="E54" s="6"/>
      <c r="F54" s="6" t="s">
        <v>65</v>
      </c>
      <c r="G54" s="7">
        <v>50</v>
      </c>
      <c r="H54" s="8">
        <v>310</v>
      </c>
      <c r="I54" s="4" t="str">
        <f>VLOOKUP(H54,[1]policlin!B:C,2,1)</f>
        <v>HOSP. I TARMA</v>
      </c>
      <c r="J54" s="7">
        <v>21123320</v>
      </c>
      <c r="K54" s="7" t="s">
        <v>8</v>
      </c>
    </row>
    <row r="55" spans="1:11" x14ac:dyDescent="0.2">
      <c r="A55" s="4">
        <f t="shared" si="0"/>
        <v>54</v>
      </c>
      <c r="B55" s="4"/>
      <c r="C55" s="4"/>
      <c r="D55" s="4"/>
      <c r="E55" s="12">
        <v>46045</v>
      </c>
      <c r="F55" s="6" t="s">
        <v>66</v>
      </c>
      <c r="G55" s="7">
        <v>79</v>
      </c>
      <c r="H55" s="8">
        <v>494</v>
      </c>
      <c r="I55" s="4" t="str">
        <f>VLOOKUP(H55,[1]policlin!B:C,2,1)</f>
        <v>CAP III MANTARO</v>
      </c>
      <c r="J55" s="7">
        <v>19846251</v>
      </c>
      <c r="K55" s="7" t="s">
        <v>8</v>
      </c>
    </row>
    <row r="56" spans="1:11" x14ac:dyDescent="0.2">
      <c r="A56" s="4">
        <f t="shared" si="0"/>
        <v>55</v>
      </c>
      <c r="B56" s="4"/>
      <c r="C56" s="5">
        <v>46111</v>
      </c>
      <c r="D56" s="4"/>
      <c r="E56" s="6"/>
      <c r="F56" s="6" t="s">
        <v>67</v>
      </c>
      <c r="G56" s="7">
        <v>76</v>
      </c>
      <c r="H56" s="8">
        <v>431</v>
      </c>
      <c r="I56" s="4" t="str">
        <f>VLOOKUP(H56,[1]policlin!B:C,2,1)</f>
        <v>POLI. METROPOLITANO HUANCAYO</v>
      </c>
      <c r="J56" s="7">
        <v>19860675</v>
      </c>
      <c r="K56" s="7" t="s">
        <v>8</v>
      </c>
    </row>
    <row r="57" spans="1:11" x14ac:dyDescent="0.2">
      <c r="A57" s="4">
        <f t="shared" si="0"/>
        <v>56</v>
      </c>
      <c r="B57" s="4"/>
      <c r="C57" s="4"/>
      <c r="D57" s="4"/>
      <c r="E57" s="12">
        <v>46045</v>
      </c>
      <c r="F57" s="6" t="s">
        <v>68</v>
      </c>
      <c r="G57" s="7">
        <v>79</v>
      </c>
      <c r="H57" s="8">
        <v>308</v>
      </c>
      <c r="I57" s="4" t="str">
        <f>VLOOKUP(H57,[1]policlin!B:C,2,1)</f>
        <v>HOSP. II LA OROYA</v>
      </c>
      <c r="J57" s="7">
        <v>21276524</v>
      </c>
      <c r="K57" s="7" t="s">
        <v>8</v>
      </c>
    </row>
    <row r="58" spans="1:11" x14ac:dyDescent="0.2">
      <c r="A58" s="4">
        <f t="shared" si="0"/>
        <v>57</v>
      </c>
      <c r="B58" s="5">
        <v>46100</v>
      </c>
      <c r="C58" s="5">
        <v>46086</v>
      </c>
      <c r="D58" s="4"/>
      <c r="E58" s="6"/>
      <c r="F58" s="6" t="s">
        <v>69</v>
      </c>
      <c r="G58" s="7">
        <v>56</v>
      </c>
      <c r="H58" s="8">
        <v>431</v>
      </c>
      <c r="I58" s="4" t="str">
        <f>VLOOKUP(H58,[1]policlin!B:C,2,1)</f>
        <v>POLI. METROPOLITANO HUANCAYO</v>
      </c>
      <c r="J58" s="7">
        <v>19990128</v>
      </c>
      <c r="K58" s="7" t="s">
        <v>8</v>
      </c>
    </row>
    <row r="59" spans="1:11" x14ac:dyDescent="0.2">
      <c r="A59" s="4">
        <f t="shared" si="0"/>
        <v>58</v>
      </c>
      <c r="B59" s="4"/>
      <c r="C59" s="4"/>
      <c r="D59" s="4"/>
      <c r="E59" s="6" t="s">
        <v>406</v>
      </c>
      <c r="F59" s="6" t="s">
        <v>71</v>
      </c>
      <c r="G59" s="7">
        <v>88</v>
      </c>
      <c r="H59" s="8">
        <v>494</v>
      </c>
      <c r="I59" s="4" t="str">
        <f>VLOOKUP(H59,[1]policlin!B:C,2,1)</f>
        <v>CAP III MANTARO</v>
      </c>
      <c r="J59" s="7">
        <v>19802985</v>
      </c>
      <c r="K59" s="7" t="s">
        <v>8</v>
      </c>
    </row>
    <row r="60" spans="1:11" x14ac:dyDescent="0.2">
      <c r="A60" s="4">
        <f t="shared" si="0"/>
        <v>59</v>
      </c>
      <c r="B60" s="4"/>
      <c r="C60" s="4"/>
      <c r="D60" s="4"/>
      <c r="E60" s="6" t="s">
        <v>407</v>
      </c>
      <c r="F60" s="6" t="s">
        <v>72</v>
      </c>
      <c r="G60" s="7">
        <v>79</v>
      </c>
      <c r="H60" s="8">
        <v>431</v>
      </c>
      <c r="I60" s="4" t="str">
        <f>VLOOKUP(H60,[1]policlin!B:C,2,1)</f>
        <v>POLI. METROPOLITANO HUANCAYO</v>
      </c>
      <c r="J60" s="7">
        <v>19833548</v>
      </c>
      <c r="K60" s="7" t="s">
        <v>8</v>
      </c>
    </row>
    <row r="61" spans="1:11" x14ac:dyDescent="0.2">
      <c r="A61" s="4">
        <f t="shared" si="0"/>
        <v>60</v>
      </c>
      <c r="B61" s="5">
        <v>46135</v>
      </c>
      <c r="C61" s="4"/>
      <c r="D61" s="4"/>
      <c r="E61" s="6"/>
      <c r="F61" s="6" t="s">
        <v>73</v>
      </c>
      <c r="G61" s="7">
        <v>65</v>
      </c>
      <c r="H61" s="8">
        <v>494</v>
      </c>
      <c r="I61" s="4" t="str">
        <f>VLOOKUP(H61,[1]policlin!B:C,2,1)</f>
        <v>CAP III MANTARO</v>
      </c>
      <c r="J61" s="7">
        <v>19830603</v>
      </c>
      <c r="K61" s="7" t="s">
        <v>8</v>
      </c>
    </row>
    <row r="62" spans="1:11" x14ac:dyDescent="0.2">
      <c r="A62" s="4">
        <f t="shared" si="0"/>
        <v>61</v>
      </c>
      <c r="B62" s="5">
        <v>46118</v>
      </c>
      <c r="C62" s="4"/>
      <c r="D62" s="4"/>
      <c r="E62" s="6"/>
      <c r="F62" s="6" t="s">
        <v>74</v>
      </c>
      <c r="G62" s="7">
        <v>43</v>
      </c>
      <c r="H62" s="8">
        <v>494</v>
      </c>
      <c r="I62" s="4" t="str">
        <f>VLOOKUP(H62,[1]policlin!B:C,2,1)</f>
        <v>CAP III MANTARO</v>
      </c>
      <c r="J62" s="7">
        <v>43865087</v>
      </c>
      <c r="K62" s="7" t="s">
        <v>8</v>
      </c>
    </row>
    <row r="63" spans="1:11" x14ac:dyDescent="0.2">
      <c r="A63" s="4">
        <f t="shared" si="0"/>
        <v>62</v>
      </c>
      <c r="B63" s="4"/>
      <c r="C63" s="4"/>
      <c r="D63" s="4"/>
      <c r="E63" s="6" t="s">
        <v>408</v>
      </c>
      <c r="F63" s="6" t="s">
        <v>75</v>
      </c>
      <c r="G63" s="7">
        <v>51</v>
      </c>
      <c r="H63" s="8">
        <v>494</v>
      </c>
      <c r="I63" s="4" t="str">
        <f>VLOOKUP(H63,[1]policlin!B:C,2,1)</f>
        <v>CAP III MANTARO</v>
      </c>
      <c r="J63" s="7">
        <v>9779513</v>
      </c>
      <c r="K63" s="7" t="s">
        <v>8</v>
      </c>
    </row>
    <row r="64" spans="1:11" x14ac:dyDescent="0.2">
      <c r="A64" s="4">
        <f t="shared" si="0"/>
        <v>63</v>
      </c>
      <c r="B64" s="4"/>
      <c r="C64" s="5">
        <v>46090</v>
      </c>
      <c r="D64" s="4"/>
      <c r="E64" s="6"/>
      <c r="F64" s="6" t="s">
        <v>76</v>
      </c>
      <c r="G64" s="7">
        <v>68</v>
      </c>
      <c r="H64" s="8">
        <v>494</v>
      </c>
      <c r="I64" s="4" t="str">
        <f>VLOOKUP(H64,[1]policlin!B:C,2,1)</f>
        <v>CAP III MANTARO</v>
      </c>
      <c r="J64" s="7">
        <v>19832656</v>
      </c>
      <c r="K64" s="7" t="s">
        <v>8</v>
      </c>
    </row>
    <row r="65" spans="1:11" x14ac:dyDescent="0.2">
      <c r="A65" s="4">
        <f t="shared" si="0"/>
        <v>64</v>
      </c>
      <c r="B65" s="4"/>
      <c r="C65" s="5">
        <v>46086</v>
      </c>
      <c r="D65" s="4"/>
      <c r="E65" s="6"/>
      <c r="F65" s="6" t="s">
        <v>77</v>
      </c>
      <c r="G65" s="7">
        <v>89</v>
      </c>
      <c r="H65" s="8">
        <v>431</v>
      </c>
      <c r="I65" s="4" t="str">
        <f>VLOOKUP(H65,[1]policlin!B:C,2,1)</f>
        <v>POLI. METROPOLITANO HUANCAYO</v>
      </c>
      <c r="J65" s="7">
        <v>20033307</v>
      </c>
      <c r="K65" s="7" t="s">
        <v>8</v>
      </c>
    </row>
    <row r="66" spans="1:11" x14ac:dyDescent="0.2">
      <c r="A66" s="4">
        <f t="shared" si="0"/>
        <v>65</v>
      </c>
      <c r="B66" s="4" t="s">
        <v>23</v>
      </c>
      <c r="C66" s="4"/>
      <c r="D66" s="4"/>
      <c r="E66" s="6" t="s">
        <v>397</v>
      </c>
      <c r="F66" s="6" t="s">
        <v>78</v>
      </c>
      <c r="G66" s="7">
        <v>71</v>
      </c>
      <c r="H66" s="8">
        <v>454</v>
      </c>
      <c r="I66" s="4" t="str">
        <f>VLOOKUP(H66,[1]policlin!B:C,2,1)</f>
        <v>CAP II CHILCA</v>
      </c>
      <c r="J66" s="7">
        <v>19878796</v>
      </c>
      <c r="K66" s="7" t="s">
        <v>8</v>
      </c>
    </row>
    <row r="67" spans="1:11" x14ac:dyDescent="0.2">
      <c r="A67" s="4">
        <f t="shared" si="0"/>
        <v>66</v>
      </c>
      <c r="B67" s="4" t="s">
        <v>23</v>
      </c>
      <c r="C67" s="4"/>
      <c r="D67" s="4"/>
      <c r="E67" s="6" t="s">
        <v>401</v>
      </c>
      <c r="F67" s="6" t="s">
        <v>79</v>
      </c>
      <c r="G67" s="7">
        <v>73</v>
      </c>
      <c r="H67" s="8">
        <v>309</v>
      </c>
      <c r="I67" s="4" t="str">
        <f>VLOOKUP(H67,[1]policlin!B:C,2,1)</f>
        <v>HOSP. I RIO NEGRO - SATIPO</v>
      </c>
      <c r="J67" s="7">
        <v>25539711</v>
      </c>
      <c r="K67" s="7" t="s">
        <v>8</v>
      </c>
    </row>
    <row r="68" spans="1:11" x14ac:dyDescent="0.2">
      <c r="A68" s="4">
        <f t="shared" ref="A68:A131" si="1">SUM(1+A67)</f>
        <v>67</v>
      </c>
      <c r="B68" s="4"/>
      <c r="C68" s="5">
        <v>46090</v>
      </c>
      <c r="D68" s="4"/>
      <c r="E68" s="6"/>
      <c r="F68" s="6" t="s">
        <v>80</v>
      </c>
      <c r="G68" s="7">
        <v>69</v>
      </c>
      <c r="H68" s="8">
        <v>431</v>
      </c>
      <c r="I68" s="4" t="str">
        <f>VLOOKUP(H68,[1]policlin!B:C,2,1)</f>
        <v>POLI. METROPOLITANO HUANCAYO</v>
      </c>
      <c r="J68" s="7">
        <v>4056612</v>
      </c>
      <c r="K68" s="7" t="s">
        <v>8</v>
      </c>
    </row>
    <row r="69" spans="1:11" x14ac:dyDescent="0.2">
      <c r="A69" s="4">
        <f t="shared" si="1"/>
        <v>68</v>
      </c>
      <c r="B69" s="4"/>
      <c r="C69" s="4"/>
      <c r="D69" s="4"/>
      <c r="E69" s="6" t="s">
        <v>403</v>
      </c>
      <c r="F69" s="6" t="s">
        <v>81</v>
      </c>
      <c r="G69" s="7">
        <v>68</v>
      </c>
      <c r="H69" s="8">
        <v>310</v>
      </c>
      <c r="I69" s="4" t="str">
        <f>VLOOKUP(H69,[1]policlin!B:C,2,1)</f>
        <v>HOSP. I TARMA</v>
      </c>
      <c r="J69" s="7">
        <v>21123171</v>
      </c>
      <c r="K69" s="7" t="s">
        <v>8</v>
      </c>
    </row>
    <row r="70" spans="1:11" x14ac:dyDescent="0.2">
      <c r="A70" s="4">
        <f t="shared" si="1"/>
        <v>69</v>
      </c>
      <c r="B70" s="4"/>
      <c r="C70" s="4"/>
      <c r="D70" s="12">
        <v>46069</v>
      </c>
      <c r="E70" s="4"/>
      <c r="F70" s="6" t="s">
        <v>82</v>
      </c>
      <c r="G70" s="7">
        <v>75</v>
      </c>
      <c r="H70" s="8">
        <v>454</v>
      </c>
      <c r="I70" s="4" t="str">
        <f>VLOOKUP(H70,[1]policlin!B:C,2,1)</f>
        <v>CAP II CHILCA</v>
      </c>
      <c r="J70" s="7">
        <v>19884546</v>
      </c>
      <c r="K70" s="7" t="s">
        <v>8</v>
      </c>
    </row>
    <row r="71" spans="1:11" x14ac:dyDescent="0.2">
      <c r="A71" s="4">
        <f t="shared" si="1"/>
        <v>70</v>
      </c>
      <c r="B71" s="4"/>
      <c r="C71" s="5">
        <v>46108</v>
      </c>
      <c r="D71" s="4"/>
      <c r="E71" s="6"/>
      <c r="F71" s="6" t="s">
        <v>83</v>
      </c>
      <c r="G71" s="7">
        <v>74</v>
      </c>
      <c r="H71" s="8">
        <v>494</v>
      </c>
      <c r="I71" s="4" t="str">
        <f>VLOOKUP(H71,[1]policlin!B:C,2,1)</f>
        <v>CAP III MANTARO</v>
      </c>
      <c r="J71" s="7">
        <v>19861724</v>
      </c>
      <c r="K71" s="7" t="s">
        <v>8</v>
      </c>
    </row>
    <row r="72" spans="1:11" x14ac:dyDescent="0.2">
      <c r="A72" s="4">
        <f t="shared" si="1"/>
        <v>71</v>
      </c>
      <c r="B72" s="4"/>
      <c r="C72" s="4"/>
      <c r="D72" s="4"/>
      <c r="E72" s="6" t="s">
        <v>403</v>
      </c>
      <c r="F72" s="6" t="s">
        <v>84</v>
      </c>
      <c r="G72" s="7">
        <v>78</v>
      </c>
      <c r="H72" s="8">
        <v>312</v>
      </c>
      <c r="I72" s="4" t="str">
        <f>VLOOKUP(H72,[1]policlin!B:C,2,1)</f>
        <v>C. M. CONCEPCION</v>
      </c>
      <c r="J72" s="7">
        <v>20403333</v>
      </c>
      <c r="K72" s="7" t="s">
        <v>8</v>
      </c>
    </row>
    <row r="73" spans="1:11" x14ac:dyDescent="0.2">
      <c r="A73" s="4">
        <f t="shared" si="1"/>
        <v>72</v>
      </c>
      <c r="B73" s="4"/>
      <c r="C73" s="4"/>
      <c r="D73" s="4"/>
      <c r="E73" s="9">
        <v>46052</v>
      </c>
      <c r="F73" s="6" t="s">
        <v>85</v>
      </c>
      <c r="G73" s="7">
        <v>82</v>
      </c>
      <c r="H73" s="8">
        <v>431</v>
      </c>
      <c r="I73" s="4" t="str">
        <f>VLOOKUP(H73,[1]policlin!B:C,2,1)</f>
        <v>POLI. METROPOLITANO HUANCAYO</v>
      </c>
      <c r="J73" s="7">
        <v>21254086</v>
      </c>
      <c r="K73" s="7" t="s">
        <v>8</v>
      </c>
    </row>
    <row r="74" spans="1:11" x14ac:dyDescent="0.2">
      <c r="A74" s="4">
        <f t="shared" si="1"/>
        <v>73</v>
      </c>
      <c r="B74" s="5">
        <v>46100</v>
      </c>
      <c r="C74" s="5">
        <v>46086</v>
      </c>
      <c r="D74" s="4"/>
      <c r="E74" s="6"/>
      <c r="F74" s="6" t="s">
        <v>86</v>
      </c>
      <c r="G74" s="7">
        <v>74</v>
      </c>
      <c r="H74" s="8">
        <v>454</v>
      </c>
      <c r="I74" s="4" t="str">
        <f>VLOOKUP(H74,[1]policlin!B:C,2,1)</f>
        <v>CAP II CHILCA</v>
      </c>
      <c r="J74" s="7">
        <v>20002395</v>
      </c>
      <c r="K74" s="7" t="s">
        <v>8</v>
      </c>
    </row>
    <row r="75" spans="1:11" x14ac:dyDescent="0.2">
      <c r="A75" s="4">
        <f t="shared" si="1"/>
        <v>74</v>
      </c>
      <c r="B75" s="4"/>
      <c r="C75" s="4"/>
      <c r="D75" s="4"/>
      <c r="E75" s="12">
        <v>46049</v>
      </c>
      <c r="F75" s="6" t="s">
        <v>87</v>
      </c>
      <c r="G75" s="7">
        <v>45</v>
      </c>
      <c r="H75" s="8">
        <v>431</v>
      </c>
      <c r="I75" s="4" t="str">
        <f>VLOOKUP(H75,[1]policlin!B:C,2,1)</f>
        <v>POLI. METROPOLITANO HUANCAYO</v>
      </c>
      <c r="J75" s="7">
        <v>40724665</v>
      </c>
      <c r="K75" s="7" t="s">
        <v>8</v>
      </c>
    </row>
    <row r="76" spans="1:11" x14ac:dyDescent="0.2">
      <c r="A76" s="4">
        <f t="shared" si="1"/>
        <v>75</v>
      </c>
      <c r="B76" s="4"/>
      <c r="C76" s="4"/>
      <c r="D76" s="4"/>
      <c r="E76" s="9">
        <v>46042</v>
      </c>
      <c r="F76" s="6" t="s">
        <v>88</v>
      </c>
      <c r="G76" s="7">
        <v>57</v>
      </c>
      <c r="H76" s="8">
        <v>504</v>
      </c>
      <c r="I76" s="4" t="str">
        <f>VLOOKUP(H76,[1]policlin!B:C,2,1)</f>
        <v>CAP II CHUPACA</v>
      </c>
      <c r="J76" s="7">
        <v>19867445</v>
      </c>
      <c r="K76" s="7" t="s">
        <v>8</v>
      </c>
    </row>
    <row r="77" spans="1:11" x14ac:dyDescent="0.2">
      <c r="A77" s="4">
        <f t="shared" si="1"/>
        <v>76</v>
      </c>
      <c r="B77" s="4"/>
      <c r="C77" s="4"/>
      <c r="D77" s="12">
        <v>46077</v>
      </c>
      <c r="E77" s="4"/>
      <c r="F77" s="6" t="s">
        <v>89</v>
      </c>
      <c r="G77" s="7">
        <v>78</v>
      </c>
      <c r="H77" s="8">
        <v>494</v>
      </c>
      <c r="I77" s="4" t="str">
        <f>VLOOKUP(H77,[1]policlin!B:C,2,1)</f>
        <v>CAP III MANTARO</v>
      </c>
      <c r="J77" s="7">
        <v>19818317</v>
      </c>
      <c r="K77" s="15" t="s">
        <v>90</v>
      </c>
    </row>
    <row r="78" spans="1:11" x14ac:dyDescent="0.2">
      <c r="A78" s="4">
        <f t="shared" si="1"/>
        <v>77</v>
      </c>
      <c r="B78" s="4"/>
      <c r="C78" s="4"/>
      <c r="D78" s="4"/>
      <c r="E78" s="11"/>
      <c r="F78" s="6" t="s">
        <v>91</v>
      </c>
      <c r="G78" s="7"/>
      <c r="H78" s="8"/>
      <c r="I78" s="4"/>
      <c r="J78" s="7">
        <v>19849500</v>
      </c>
      <c r="K78" s="7"/>
    </row>
    <row r="79" spans="1:11" x14ac:dyDescent="0.2">
      <c r="A79" s="4">
        <f t="shared" si="1"/>
        <v>78</v>
      </c>
      <c r="B79" s="4"/>
      <c r="C79" s="4"/>
      <c r="D79" s="4"/>
      <c r="E79" s="6" t="s">
        <v>70</v>
      </c>
      <c r="F79" s="6" t="s">
        <v>92</v>
      </c>
      <c r="G79" s="7">
        <v>81</v>
      </c>
      <c r="H79" s="8">
        <v>454</v>
      </c>
      <c r="I79" s="4" t="str">
        <f>VLOOKUP(H79,[1]policlin!B:C,2,1)</f>
        <v>CAP II CHILCA</v>
      </c>
      <c r="J79" s="7">
        <v>19814062</v>
      </c>
      <c r="K79" s="7" t="s">
        <v>8</v>
      </c>
    </row>
    <row r="80" spans="1:11" x14ac:dyDescent="0.2">
      <c r="A80" s="4">
        <f t="shared" si="1"/>
        <v>79</v>
      </c>
      <c r="B80" s="4" t="s">
        <v>400</v>
      </c>
      <c r="C80" s="4"/>
      <c r="D80" s="4"/>
      <c r="E80" s="6" t="s">
        <v>18</v>
      </c>
      <c r="F80" s="6" t="s">
        <v>93</v>
      </c>
      <c r="G80" s="7">
        <v>48</v>
      </c>
      <c r="H80" s="8">
        <v>494</v>
      </c>
      <c r="I80" s="4" t="str">
        <f>VLOOKUP(H80,[1]policlin!B:C,2,1)</f>
        <v>CAP III MANTARO</v>
      </c>
      <c r="J80" s="7">
        <v>23720066</v>
      </c>
      <c r="K80" s="7" t="s">
        <v>8</v>
      </c>
    </row>
    <row r="81" spans="1:11" x14ac:dyDescent="0.2">
      <c r="A81" s="4">
        <f t="shared" si="1"/>
        <v>80</v>
      </c>
      <c r="B81" s="4"/>
      <c r="C81" s="4"/>
      <c r="D81" s="4"/>
      <c r="E81" s="6" t="s">
        <v>18</v>
      </c>
      <c r="F81" s="6" t="s">
        <v>94</v>
      </c>
      <c r="G81" s="7">
        <v>64</v>
      </c>
      <c r="H81" s="8">
        <v>494</v>
      </c>
      <c r="I81" s="4" t="str">
        <f>VLOOKUP(H81,[1]policlin!B:C,2,1)</f>
        <v>CAP III MANTARO</v>
      </c>
      <c r="J81" s="7">
        <v>19822237</v>
      </c>
      <c r="K81" s="7" t="s">
        <v>8</v>
      </c>
    </row>
    <row r="82" spans="1:11" x14ac:dyDescent="0.2">
      <c r="A82" s="4">
        <f t="shared" si="1"/>
        <v>81</v>
      </c>
      <c r="B82" s="5">
        <v>46142</v>
      </c>
      <c r="C82" s="4"/>
      <c r="D82" s="4"/>
      <c r="E82" s="6"/>
      <c r="F82" s="6" t="s">
        <v>95</v>
      </c>
      <c r="G82" s="7">
        <v>56</v>
      </c>
      <c r="H82" s="8">
        <v>325</v>
      </c>
      <c r="I82" s="4" t="str">
        <f>VLOOKUP(H82,[1]policlin!B:C,2,1)</f>
        <v>HOSP. II PASCO</v>
      </c>
      <c r="J82" s="7">
        <v>4015440</v>
      </c>
      <c r="K82" s="7" t="s">
        <v>8</v>
      </c>
    </row>
    <row r="83" spans="1:11" x14ac:dyDescent="0.2">
      <c r="A83" s="4">
        <f t="shared" si="1"/>
        <v>82</v>
      </c>
      <c r="B83" s="4"/>
      <c r="C83" s="5">
        <v>46107</v>
      </c>
      <c r="D83" s="4"/>
      <c r="E83" s="6"/>
      <c r="F83" s="6" t="s">
        <v>96</v>
      </c>
      <c r="G83" s="7">
        <v>71</v>
      </c>
      <c r="H83" s="8">
        <v>334</v>
      </c>
      <c r="I83" s="4" t="str">
        <f>VLOOKUP(H83,[1]policlin!B:C,2,1)</f>
        <v>HOSP. I OXAPAMPA</v>
      </c>
      <c r="J83" s="7">
        <v>17588139</v>
      </c>
      <c r="K83" s="7" t="s">
        <v>8</v>
      </c>
    </row>
    <row r="84" spans="1:11" x14ac:dyDescent="0.2">
      <c r="A84" s="4">
        <f t="shared" si="1"/>
        <v>83</v>
      </c>
      <c r="B84" s="4"/>
      <c r="C84" s="5">
        <v>46086</v>
      </c>
      <c r="D84" s="13"/>
      <c r="E84" s="6"/>
      <c r="F84" s="6" t="s">
        <v>97</v>
      </c>
      <c r="G84" s="7">
        <v>75</v>
      </c>
      <c r="H84" s="8">
        <v>311</v>
      </c>
      <c r="I84" s="4" t="str">
        <f>VLOOKUP(H84,[1]policlin!B:C,2,1)</f>
        <v>POLI. JAUJA</v>
      </c>
      <c r="J84" s="7">
        <v>20697957</v>
      </c>
      <c r="K84" s="7" t="s">
        <v>8</v>
      </c>
    </row>
    <row r="85" spans="1:11" x14ac:dyDescent="0.2">
      <c r="A85" s="4">
        <f t="shared" si="1"/>
        <v>84</v>
      </c>
      <c r="B85" s="5">
        <v>46125</v>
      </c>
      <c r="C85" s="5">
        <v>46093</v>
      </c>
      <c r="D85" s="4"/>
      <c r="E85" s="6"/>
      <c r="F85" s="6" t="s">
        <v>98</v>
      </c>
      <c r="G85" s="7">
        <v>67</v>
      </c>
      <c r="H85" s="8">
        <v>311</v>
      </c>
      <c r="I85" s="4" t="str">
        <f>VLOOKUP(H85,[1]policlin!B:C,2,1)</f>
        <v>POLI. JAUJA</v>
      </c>
      <c r="J85" s="7">
        <v>20647265</v>
      </c>
      <c r="K85" s="7" t="s">
        <v>8</v>
      </c>
    </row>
    <row r="86" spans="1:11" x14ac:dyDescent="0.2">
      <c r="A86" s="4">
        <f t="shared" si="1"/>
        <v>85</v>
      </c>
      <c r="B86" s="4"/>
      <c r="C86" s="4"/>
      <c r="D86" s="12">
        <v>46077</v>
      </c>
      <c r="E86" s="4"/>
      <c r="F86" s="6" t="s">
        <v>99</v>
      </c>
      <c r="G86" s="7">
        <v>86</v>
      </c>
      <c r="H86" s="8">
        <v>310</v>
      </c>
      <c r="I86" s="4" t="str">
        <f>VLOOKUP(H86,[1]policlin!B:C,2,1)</f>
        <v>HOSP. I TARMA</v>
      </c>
      <c r="J86" s="7">
        <v>21070758</v>
      </c>
      <c r="K86" s="7" t="s">
        <v>8</v>
      </c>
    </row>
    <row r="87" spans="1:11" x14ac:dyDescent="0.2">
      <c r="A87" s="4">
        <f t="shared" si="1"/>
        <v>86</v>
      </c>
      <c r="B87" s="22">
        <v>46093</v>
      </c>
      <c r="C87" s="23">
        <v>46086</v>
      </c>
      <c r="D87" s="4"/>
      <c r="E87" s="6"/>
      <c r="F87" s="6" t="s">
        <v>100</v>
      </c>
      <c r="G87" s="7">
        <v>65</v>
      </c>
      <c r="H87" s="8">
        <v>494</v>
      </c>
      <c r="I87" s="4" t="str">
        <f>VLOOKUP(H87,[1]policlin!B:C,2,1)</f>
        <v>CAP III MANTARO</v>
      </c>
      <c r="J87" s="7">
        <v>19805298</v>
      </c>
      <c r="K87" s="7" t="s">
        <v>8</v>
      </c>
    </row>
    <row r="88" spans="1:11" x14ac:dyDescent="0.2">
      <c r="A88" s="4">
        <f t="shared" si="1"/>
        <v>87</v>
      </c>
      <c r="B88" s="4"/>
      <c r="C88" s="5">
        <v>46094</v>
      </c>
      <c r="D88" s="4"/>
      <c r="E88" s="6"/>
      <c r="F88" s="6" t="s">
        <v>101</v>
      </c>
      <c r="G88" s="7">
        <v>48</v>
      </c>
      <c r="H88" s="8">
        <v>494</v>
      </c>
      <c r="I88" s="4" t="str">
        <f>VLOOKUP(H88,[1]policlin!B:C,2,1)</f>
        <v>CAP III MANTARO</v>
      </c>
      <c r="J88" s="7">
        <v>4083608</v>
      </c>
      <c r="K88" s="15" t="s">
        <v>90</v>
      </c>
    </row>
    <row r="89" spans="1:11" x14ac:dyDescent="0.2">
      <c r="A89" s="4">
        <f t="shared" si="1"/>
        <v>88</v>
      </c>
      <c r="B89" s="4"/>
      <c r="C89" s="5">
        <v>46086</v>
      </c>
      <c r="D89" s="4"/>
      <c r="E89" s="6"/>
      <c r="F89" s="6" t="s">
        <v>102</v>
      </c>
      <c r="G89" s="7">
        <v>85</v>
      </c>
      <c r="H89" s="8">
        <v>325</v>
      </c>
      <c r="I89" s="4" t="str">
        <f>VLOOKUP(H89,[1]policlin!B:C,2,1)</f>
        <v>HOSP. II PASCO</v>
      </c>
      <c r="J89" s="7">
        <v>4041795</v>
      </c>
      <c r="K89" s="7" t="s">
        <v>8</v>
      </c>
    </row>
    <row r="90" spans="1:11" x14ac:dyDescent="0.2">
      <c r="A90" s="4">
        <f t="shared" si="1"/>
        <v>89</v>
      </c>
      <c r="B90" s="4"/>
      <c r="C90" s="4"/>
      <c r="D90" s="4"/>
      <c r="E90" s="6" t="s">
        <v>397</v>
      </c>
      <c r="F90" s="6" t="s">
        <v>103</v>
      </c>
      <c r="G90" s="7">
        <v>68</v>
      </c>
      <c r="H90" s="8">
        <v>431</v>
      </c>
      <c r="I90" s="4" t="str">
        <f>VLOOKUP(H90,[1]policlin!B:C,2,1)</f>
        <v>POLI. METROPOLITANO HUANCAYO</v>
      </c>
      <c r="J90" s="7">
        <v>19912240</v>
      </c>
      <c r="K90" s="7" t="s">
        <v>8</v>
      </c>
    </row>
    <row r="91" spans="1:11" x14ac:dyDescent="0.2">
      <c r="A91" s="4">
        <f t="shared" si="1"/>
        <v>90</v>
      </c>
      <c r="B91" s="4"/>
      <c r="C91" s="5">
        <v>46093</v>
      </c>
      <c r="D91" s="4"/>
      <c r="E91" s="6"/>
      <c r="F91" s="6" t="s">
        <v>104</v>
      </c>
      <c r="G91" s="7">
        <v>87</v>
      </c>
      <c r="H91" s="8">
        <v>494</v>
      </c>
      <c r="I91" s="4" t="str">
        <f>VLOOKUP(H91,[1]policlin!B:C,2,1)</f>
        <v>CAP III MANTARO</v>
      </c>
      <c r="J91" s="7">
        <v>19998173</v>
      </c>
      <c r="K91" s="7" t="s">
        <v>8</v>
      </c>
    </row>
    <row r="92" spans="1:11" x14ac:dyDescent="0.2">
      <c r="A92" s="4">
        <f t="shared" si="1"/>
        <v>91</v>
      </c>
      <c r="B92" s="4"/>
      <c r="C92" s="4"/>
      <c r="D92" s="4"/>
      <c r="E92" s="9">
        <v>46031</v>
      </c>
      <c r="F92" s="6" t="s">
        <v>105</v>
      </c>
      <c r="G92" s="7">
        <v>77</v>
      </c>
      <c r="H92" s="8">
        <v>325</v>
      </c>
      <c r="I92" s="4" t="str">
        <f>VLOOKUP(H92,[1]policlin!B:C,2,1)</f>
        <v>HOSP. II PASCO</v>
      </c>
      <c r="J92" s="7">
        <v>6201309</v>
      </c>
      <c r="K92" s="7" t="s">
        <v>8</v>
      </c>
    </row>
    <row r="93" spans="1:11" x14ac:dyDescent="0.2">
      <c r="A93" s="4">
        <f t="shared" si="1"/>
        <v>92</v>
      </c>
      <c r="B93" s="4"/>
      <c r="C93" s="5">
        <v>46107</v>
      </c>
      <c r="D93" s="4"/>
      <c r="E93" s="6"/>
      <c r="F93" s="6" t="s">
        <v>106</v>
      </c>
      <c r="G93" s="7">
        <v>91</v>
      </c>
      <c r="H93" s="8">
        <v>431</v>
      </c>
      <c r="I93" s="4" t="str">
        <f>VLOOKUP(H93,[1]policlin!B:C,2,1)</f>
        <v>POLI. METROPOLITANO HUANCAYO</v>
      </c>
      <c r="J93" s="7">
        <v>19909958</v>
      </c>
      <c r="K93" s="7" t="s">
        <v>8</v>
      </c>
    </row>
    <row r="94" spans="1:11" x14ac:dyDescent="0.2">
      <c r="A94" s="4">
        <f t="shared" si="1"/>
        <v>93</v>
      </c>
      <c r="B94" s="4"/>
      <c r="C94" s="4"/>
      <c r="D94" s="4"/>
      <c r="E94" s="6" t="s">
        <v>407</v>
      </c>
      <c r="F94" s="6" t="s">
        <v>107</v>
      </c>
      <c r="G94" s="7">
        <v>80</v>
      </c>
      <c r="H94" s="8">
        <v>309</v>
      </c>
      <c r="I94" s="4" t="str">
        <f>VLOOKUP(H94,[1]policlin!B:C,2,1)</f>
        <v>HOSP. I RIO NEGRO - SATIPO</v>
      </c>
      <c r="J94" s="7">
        <v>8080386</v>
      </c>
      <c r="K94" s="7" t="s">
        <v>8</v>
      </c>
    </row>
    <row r="95" spans="1:11" x14ac:dyDescent="0.2">
      <c r="A95" s="4">
        <f t="shared" si="1"/>
        <v>94</v>
      </c>
      <c r="B95" s="4"/>
      <c r="C95" s="5">
        <v>46107</v>
      </c>
      <c r="D95" s="4"/>
      <c r="E95" s="6"/>
      <c r="F95" s="6" t="s">
        <v>108</v>
      </c>
      <c r="G95" s="7">
        <v>70</v>
      </c>
      <c r="H95" s="8">
        <v>494</v>
      </c>
      <c r="I95" s="4" t="str">
        <f>VLOOKUP(H95,[1]policlin!B:C,2,1)</f>
        <v>CAP III MANTARO</v>
      </c>
      <c r="J95" s="7">
        <v>19994036</v>
      </c>
      <c r="K95" s="7" t="s">
        <v>8</v>
      </c>
    </row>
    <row r="96" spans="1:11" x14ac:dyDescent="0.2">
      <c r="A96" s="4">
        <f t="shared" si="1"/>
        <v>95</v>
      </c>
      <c r="B96" s="4"/>
      <c r="C96" s="4"/>
      <c r="D96" s="12">
        <v>46073</v>
      </c>
      <c r="E96" s="4"/>
      <c r="F96" s="6" t="s">
        <v>109</v>
      </c>
      <c r="G96" s="7">
        <v>61</v>
      </c>
      <c r="H96" s="8">
        <v>296</v>
      </c>
      <c r="I96" s="4" t="str">
        <f>VLOOKUP(H96,[1]policlin!B:C,2,1)</f>
        <v>HOSP. II HUANUCO</v>
      </c>
      <c r="J96" s="7">
        <v>22423052</v>
      </c>
      <c r="K96" s="7" t="s">
        <v>8</v>
      </c>
    </row>
    <row r="97" spans="1:11" x14ac:dyDescent="0.2">
      <c r="A97" s="4">
        <f t="shared" si="1"/>
        <v>96</v>
      </c>
      <c r="B97" s="4"/>
      <c r="C97" s="4"/>
      <c r="D97" s="4"/>
      <c r="E97" s="6" t="s">
        <v>402</v>
      </c>
      <c r="F97" s="6" t="s">
        <v>110</v>
      </c>
      <c r="G97" s="7">
        <v>78</v>
      </c>
      <c r="H97" s="8">
        <v>431</v>
      </c>
      <c r="I97" s="4" t="str">
        <f>VLOOKUP(H97,[1]policlin!B:C,2,1)</f>
        <v>POLI. METROPOLITANO HUANCAYO</v>
      </c>
      <c r="J97" s="7">
        <v>17888004</v>
      </c>
      <c r="K97" s="7" t="s">
        <v>8</v>
      </c>
    </row>
    <row r="98" spans="1:11" x14ac:dyDescent="0.2">
      <c r="A98" s="4">
        <f t="shared" si="1"/>
        <v>97</v>
      </c>
      <c r="B98" s="4"/>
      <c r="C98" s="4"/>
      <c r="D98" s="4"/>
      <c r="E98" s="9">
        <v>46035</v>
      </c>
      <c r="F98" s="6" t="s">
        <v>111</v>
      </c>
      <c r="G98" s="7">
        <v>65</v>
      </c>
      <c r="H98" s="8">
        <v>494</v>
      </c>
      <c r="I98" s="4" t="str">
        <f>VLOOKUP(H98,[1]policlin!B:C,2,1)</f>
        <v>CAP III MANTARO</v>
      </c>
      <c r="J98" s="7">
        <v>20089029</v>
      </c>
      <c r="K98" s="7" t="s">
        <v>8</v>
      </c>
    </row>
    <row r="99" spans="1:11" x14ac:dyDescent="0.2">
      <c r="A99" s="4">
        <f t="shared" si="1"/>
        <v>98</v>
      </c>
      <c r="B99" s="4"/>
      <c r="C99" s="4"/>
      <c r="D99" s="4"/>
      <c r="E99" s="6" t="s">
        <v>401</v>
      </c>
      <c r="F99" s="6" t="s">
        <v>112</v>
      </c>
      <c r="G99" s="7">
        <v>72</v>
      </c>
      <c r="H99" s="8">
        <v>431</v>
      </c>
      <c r="I99" s="4" t="str">
        <f>VLOOKUP(H99,[1]policlin!B:C,2,1)</f>
        <v>POLI. METROPOLITANO HUANCAYO</v>
      </c>
      <c r="J99" s="7">
        <v>19932265</v>
      </c>
      <c r="K99" s="7" t="s">
        <v>8</v>
      </c>
    </row>
    <row r="100" spans="1:11" x14ac:dyDescent="0.2">
      <c r="A100" s="4">
        <f t="shared" si="1"/>
        <v>99</v>
      </c>
      <c r="B100" s="4"/>
      <c r="C100" s="4"/>
      <c r="D100" s="4"/>
      <c r="E100" s="6" t="s">
        <v>409</v>
      </c>
      <c r="F100" s="6" t="s">
        <v>113</v>
      </c>
      <c r="G100" s="7">
        <v>56</v>
      </c>
      <c r="H100" s="8"/>
      <c r="I100" s="4" t="s">
        <v>114</v>
      </c>
      <c r="J100" s="7">
        <v>23262146</v>
      </c>
      <c r="K100" s="7" t="s">
        <v>8</v>
      </c>
    </row>
    <row r="101" spans="1:11" x14ac:dyDescent="0.2">
      <c r="A101" s="4">
        <f t="shared" si="1"/>
        <v>100</v>
      </c>
      <c r="B101" s="4"/>
      <c r="C101" s="4"/>
      <c r="D101" s="12">
        <v>46059</v>
      </c>
      <c r="E101" s="4"/>
      <c r="F101" s="6" t="s">
        <v>115</v>
      </c>
      <c r="G101" s="7">
        <v>82</v>
      </c>
      <c r="H101" s="8">
        <v>431</v>
      </c>
      <c r="I101" s="4" t="str">
        <f>VLOOKUP(H101,[1]policlin!B:C,2,1)</f>
        <v>POLI. METROPOLITANO HUANCAYO</v>
      </c>
      <c r="J101" s="7">
        <v>19913045</v>
      </c>
      <c r="K101" s="7" t="s">
        <v>8</v>
      </c>
    </row>
    <row r="102" spans="1:11" x14ac:dyDescent="0.2">
      <c r="A102" s="4">
        <f t="shared" si="1"/>
        <v>101</v>
      </c>
      <c r="B102" s="4"/>
      <c r="C102" s="4"/>
      <c r="D102" s="12">
        <v>46070</v>
      </c>
      <c r="E102" s="4"/>
      <c r="F102" s="6" t="s">
        <v>116</v>
      </c>
      <c r="G102" s="7">
        <v>81</v>
      </c>
      <c r="H102" s="8">
        <v>431</v>
      </c>
      <c r="I102" s="4" t="str">
        <f>VLOOKUP(H102,[1]policlin!B:C,2,1)</f>
        <v>POLI. METROPOLITANO HUANCAYO</v>
      </c>
      <c r="J102" s="7">
        <v>19927151</v>
      </c>
      <c r="K102" s="7" t="s">
        <v>8</v>
      </c>
    </row>
    <row r="103" spans="1:11" x14ac:dyDescent="0.2">
      <c r="A103" s="4">
        <f t="shared" si="1"/>
        <v>102</v>
      </c>
      <c r="B103" s="4"/>
      <c r="C103" s="4"/>
      <c r="D103" s="13"/>
      <c r="E103" s="6"/>
      <c r="F103" s="6" t="s">
        <v>117</v>
      </c>
      <c r="G103" s="7">
        <v>82</v>
      </c>
      <c r="H103" s="8">
        <v>309</v>
      </c>
      <c r="I103" s="4" t="str">
        <f>VLOOKUP(H103,[1]policlin!B:C,2,1)</f>
        <v>HOSP. I RIO NEGRO - SATIPO</v>
      </c>
      <c r="J103" s="7">
        <v>20961639</v>
      </c>
      <c r="K103" s="7" t="s">
        <v>8</v>
      </c>
    </row>
    <row r="104" spans="1:11" x14ac:dyDescent="0.2">
      <c r="A104" s="4">
        <f t="shared" si="1"/>
        <v>103</v>
      </c>
      <c r="B104" s="5">
        <v>46100</v>
      </c>
      <c r="C104" s="5">
        <v>46086</v>
      </c>
      <c r="D104" s="13"/>
      <c r="E104" s="6"/>
      <c r="F104" s="6" t="s">
        <v>118</v>
      </c>
      <c r="G104" s="7">
        <v>72</v>
      </c>
      <c r="H104" s="8">
        <v>431</v>
      </c>
      <c r="I104" s="4" t="str">
        <f>VLOOKUP(H104,[1]policlin!B:C,2,1)</f>
        <v>POLI. METROPOLITANO HUANCAYO</v>
      </c>
      <c r="J104" s="7">
        <v>21246226</v>
      </c>
      <c r="K104" s="7" t="s">
        <v>8</v>
      </c>
    </row>
    <row r="105" spans="1:11" x14ac:dyDescent="0.2">
      <c r="A105" s="4">
        <f t="shared" si="1"/>
        <v>104</v>
      </c>
      <c r="B105" s="4"/>
      <c r="C105" s="5">
        <v>46086</v>
      </c>
      <c r="D105" s="13"/>
      <c r="E105" s="6"/>
      <c r="F105" s="6" t="s">
        <v>119</v>
      </c>
      <c r="G105" s="7">
        <v>46</v>
      </c>
      <c r="H105" s="8">
        <v>342</v>
      </c>
      <c r="I105" s="4" t="str">
        <f>VLOOKUP(H105,[1]policlin!B:C,2,1)</f>
        <v>HOSP. II HUANCAVELICA</v>
      </c>
      <c r="J105" s="7">
        <v>40146180</v>
      </c>
      <c r="K105" s="7" t="s">
        <v>8</v>
      </c>
    </row>
    <row r="106" spans="1:11" x14ac:dyDescent="0.2">
      <c r="A106" s="4">
        <f t="shared" si="1"/>
        <v>105</v>
      </c>
      <c r="B106" s="4"/>
      <c r="C106" s="4"/>
      <c r="D106" s="13"/>
      <c r="E106" s="9">
        <v>46050</v>
      </c>
      <c r="F106" s="6" t="s">
        <v>120</v>
      </c>
      <c r="G106" s="7">
        <v>69</v>
      </c>
      <c r="H106" s="8">
        <v>431</v>
      </c>
      <c r="I106" s="4" t="str">
        <f>VLOOKUP(H106,[1]policlin!B:C,2,1)</f>
        <v>POLI. METROPOLITANO HUANCAYO</v>
      </c>
      <c r="J106" s="7">
        <v>23680383</v>
      </c>
      <c r="K106" s="7" t="s">
        <v>8</v>
      </c>
    </row>
    <row r="107" spans="1:11" x14ac:dyDescent="0.2">
      <c r="A107" s="4">
        <f t="shared" si="1"/>
        <v>106</v>
      </c>
      <c r="B107" s="4"/>
      <c r="C107" s="5">
        <v>46100</v>
      </c>
      <c r="D107" s="13"/>
      <c r="E107" s="6" t="s">
        <v>398</v>
      </c>
      <c r="F107" s="6" t="s">
        <v>121</v>
      </c>
      <c r="G107" s="7">
        <v>69</v>
      </c>
      <c r="H107" s="8">
        <v>325</v>
      </c>
      <c r="I107" s="4" t="str">
        <f>VLOOKUP(H107,[1]policlin!B:C,2,1)</f>
        <v>HOSP. II PASCO</v>
      </c>
      <c r="J107" s="7">
        <v>4020729</v>
      </c>
      <c r="K107" s="7" t="s">
        <v>8</v>
      </c>
    </row>
    <row r="108" spans="1:11" x14ac:dyDescent="0.2">
      <c r="A108" s="4">
        <f t="shared" si="1"/>
        <v>107</v>
      </c>
      <c r="B108" s="4"/>
      <c r="C108" s="4"/>
      <c r="D108" s="13"/>
      <c r="E108" s="10" t="s">
        <v>402</v>
      </c>
      <c r="F108" s="6" t="s">
        <v>122</v>
      </c>
      <c r="G108" s="7">
        <v>79</v>
      </c>
      <c r="H108" s="8">
        <v>311</v>
      </c>
      <c r="I108" s="4" t="str">
        <f>VLOOKUP(H108,[1]policlin!B:C,2,1)</f>
        <v>POLI. JAUJA</v>
      </c>
      <c r="J108" s="7">
        <v>20738258</v>
      </c>
      <c r="K108" s="7" t="s">
        <v>8</v>
      </c>
    </row>
    <row r="109" spans="1:11" x14ac:dyDescent="0.2">
      <c r="A109" s="4">
        <f t="shared" si="1"/>
        <v>108</v>
      </c>
      <c r="B109" s="4"/>
      <c r="C109" s="4"/>
      <c r="D109" s="12">
        <v>46078</v>
      </c>
      <c r="F109" s="6" t="s">
        <v>123</v>
      </c>
      <c r="G109" s="7">
        <v>79</v>
      </c>
      <c r="H109" s="8">
        <v>431</v>
      </c>
      <c r="I109" s="4" t="str">
        <f>VLOOKUP(H109,[1]policlin!B:C,2,1)</f>
        <v>POLI. METROPOLITANO HUANCAYO</v>
      </c>
      <c r="J109" s="7">
        <v>4056753</v>
      </c>
      <c r="K109" s="7" t="s">
        <v>8</v>
      </c>
    </row>
    <row r="110" spans="1:11" x14ac:dyDescent="0.2">
      <c r="A110" s="4">
        <f t="shared" si="1"/>
        <v>109</v>
      </c>
      <c r="B110" s="4"/>
      <c r="C110" s="4"/>
      <c r="D110" s="13"/>
      <c r="E110" s="6" t="s">
        <v>403</v>
      </c>
      <c r="F110" s="6" t="s">
        <v>124</v>
      </c>
      <c r="G110" s="7">
        <v>39</v>
      </c>
      <c r="H110" s="8">
        <v>310</v>
      </c>
      <c r="I110" s="4" t="str">
        <f>VLOOKUP(H110,[1]policlin!B:C,2,1)</f>
        <v>HOSP. I TARMA</v>
      </c>
      <c r="J110" s="7">
        <v>43211695</v>
      </c>
      <c r="K110" s="7" t="s">
        <v>8</v>
      </c>
    </row>
    <row r="111" spans="1:11" x14ac:dyDescent="0.2">
      <c r="A111" s="4">
        <f t="shared" si="1"/>
        <v>110</v>
      </c>
      <c r="B111" s="4"/>
      <c r="C111" s="4"/>
      <c r="D111" s="13"/>
      <c r="E111" s="6" t="s">
        <v>399</v>
      </c>
      <c r="F111" s="6" t="s">
        <v>125</v>
      </c>
      <c r="G111" s="7">
        <v>42</v>
      </c>
      <c r="H111" s="8">
        <v>334</v>
      </c>
      <c r="I111" s="4" t="str">
        <f>VLOOKUP(H111,[1]policlin!B:C,2,1)</f>
        <v>HOSP. I OXAPAMPA</v>
      </c>
      <c r="J111" s="7">
        <v>41419048</v>
      </c>
      <c r="K111" s="7" t="s">
        <v>8</v>
      </c>
    </row>
    <row r="112" spans="1:11" x14ac:dyDescent="0.2">
      <c r="A112" s="4">
        <f t="shared" si="1"/>
        <v>111</v>
      </c>
      <c r="B112" s="4"/>
      <c r="C112" s="4"/>
      <c r="D112" s="13"/>
      <c r="E112" s="6" t="s">
        <v>399</v>
      </c>
      <c r="F112" s="6" t="s">
        <v>126</v>
      </c>
      <c r="G112" s="7">
        <v>65</v>
      </c>
      <c r="H112" s="8">
        <v>308</v>
      </c>
      <c r="I112" s="4" t="str">
        <f>VLOOKUP(H112,[1]policlin!B:C,2,1)</f>
        <v>HOSP. II LA OROYA</v>
      </c>
      <c r="J112" s="7">
        <v>21283449</v>
      </c>
      <c r="K112" s="7" t="s">
        <v>8</v>
      </c>
    </row>
    <row r="113" spans="1:11" x14ac:dyDescent="0.2">
      <c r="A113" s="4">
        <f t="shared" si="1"/>
        <v>112</v>
      </c>
      <c r="B113" s="4"/>
      <c r="C113" s="4"/>
      <c r="D113" s="13"/>
      <c r="E113" s="6" t="s">
        <v>409</v>
      </c>
      <c r="F113" s="6" t="s">
        <v>127</v>
      </c>
      <c r="G113" s="7">
        <v>84</v>
      </c>
      <c r="H113" s="8">
        <v>431</v>
      </c>
      <c r="I113" s="4" t="str">
        <f>VLOOKUP(H113,[1]policlin!B:C,2,1)</f>
        <v>POLI. METROPOLITANO HUANCAYO</v>
      </c>
      <c r="J113" s="7">
        <v>19966654</v>
      </c>
      <c r="K113" s="7" t="s">
        <v>8</v>
      </c>
    </row>
    <row r="114" spans="1:11" x14ac:dyDescent="0.2">
      <c r="A114" s="4">
        <f t="shared" si="1"/>
        <v>113</v>
      </c>
      <c r="B114" s="4"/>
      <c r="C114" s="4"/>
      <c r="D114" s="13"/>
      <c r="E114" s="6" t="s">
        <v>403</v>
      </c>
      <c r="F114" s="6" t="s">
        <v>128</v>
      </c>
      <c r="G114" s="7">
        <v>81</v>
      </c>
      <c r="H114" s="8">
        <v>431</v>
      </c>
      <c r="I114" s="4" t="str">
        <f>VLOOKUP(H114,[1]policlin!B:C,2,1)</f>
        <v>POLI. METROPOLITANO HUANCAYO</v>
      </c>
      <c r="J114" s="7">
        <v>19905769</v>
      </c>
      <c r="K114" s="7" t="s">
        <v>8</v>
      </c>
    </row>
    <row r="115" spans="1:11" x14ac:dyDescent="0.2">
      <c r="A115" s="4">
        <f t="shared" si="1"/>
        <v>114</v>
      </c>
      <c r="B115" s="4"/>
      <c r="C115" s="4"/>
      <c r="D115" s="17">
        <v>46069</v>
      </c>
      <c r="E115" s="6"/>
      <c r="F115" s="6" t="s">
        <v>129</v>
      </c>
      <c r="G115" s="7">
        <v>78</v>
      </c>
      <c r="H115" s="8">
        <v>431</v>
      </c>
      <c r="I115" s="4" t="str">
        <f>VLOOKUP(H115,[1]policlin!B:C,2,1)</f>
        <v>POLI. METROPOLITANO HUANCAYO</v>
      </c>
      <c r="J115" s="7">
        <v>19925613</v>
      </c>
      <c r="K115" s="7" t="s">
        <v>8</v>
      </c>
    </row>
    <row r="116" spans="1:11" x14ac:dyDescent="0.2">
      <c r="A116" s="4">
        <f t="shared" si="1"/>
        <v>115</v>
      </c>
      <c r="B116" s="4"/>
      <c r="C116" s="4"/>
      <c r="D116" s="13"/>
      <c r="E116" s="6" t="s">
        <v>408</v>
      </c>
      <c r="F116" s="6" t="s">
        <v>130</v>
      </c>
      <c r="G116" s="7">
        <v>68</v>
      </c>
      <c r="H116" s="8">
        <v>431</v>
      </c>
      <c r="I116" s="4" t="str">
        <f>VLOOKUP(H116,[1]policlin!B:C,2,1)</f>
        <v>POLI. METROPOLITANO HUANCAYO</v>
      </c>
      <c r="J116" s="7">
        <v>19884934</v>
      </c>
      <c r="K116" s="7" t="s">
        <v>8</v>
      </c>
    </row>
    <row r="117" spans="1:11" x14ac:dyDescent="0.2">
      <c r="A117" s="4">
        <f t="shared" si="1"/>
        <v>116</v>
      </c>
      <c r="B117" s="4"/>
      <c r="C117" s="4"/>
      <c r="D117" s="13"/>
      <c r="E117" s="6" t="s">
        <v>401</v>
      </c>
      <c r="F117" s="6" t="s">
        <v>131</v>
      </c>
      <c r="G117" s="7">
        <v>46</v>
      </c>
      <c r="H117" s="8">
        <v>494</v>
      </c>
      <c r="I117" s="4" t="str">
        <f>VLOOKUP(H117,[1]policlin!B:C,2,1)</f>
        <v>CAP III MANTARO</v>
      </c>
      <c r="J117" s="7">
        <v>40079710</v>
      </c>
      <c r="K117" s="7" t="s">
        <v>8</v>
      </c>
    </row>
    <row r="118" spans="1:11" x14ac:dyDescent="0.2">
      <c r="A118" s="4">
        <f t="shared" si="1"/>
        <v>117</v>
      </c>
      <c r="B118" s="4"/>
      <c r="C118" s="4"/>
      <c r="D118" s="13"/>
      <c r="E118" s="6" t="s">
        <v>407</v>
      </c>
      <c r="F118" s="6" t="s">
        <v>132</v>
      </c>
      <c r="G118" s="7">
        <v>66</v>
      </c>
      <c r="H118" s="8">
        <v>494</v>
      </c>
      <c r="I118" s="4" t="str">
        <f>VLOOKUP(H118,[1]policlin!B:C,2,1)</f>
        <v>CAP III MANTARO</v>
      </c>
      <c r="J118" s="7">
        <v>20078808</v>
      </c>
      <c r="K118" s="7" t="s">
        <v>8</v>
      </c>
    </row>
    <row r="119" spans="1:11" x14ac:dyDescent="0.2">
      <c r="A119" s="4">
        <f t="shared" si="1"/>
        <v>118</v>
      </c>
      <c r="B119" s="4"/>
      <c r="C119" s="4"/>
      <c r="D119" s="13"/>
      <c r="E119" s="9">
        <v>46038</v>
      </c>
      <c r="F119" s="6" t="s">
        <v>133</v>
      </c>
      <c r="G119" s="7">
        <v>87</v>
      </c>
      <c r="H119" s="8">
        <v>431</v>
      </c>
      <c r="I119" s="4" t="str">
        <f>VLOOKUP(H119,[1]policlin!B:C,2,1)</f>
        <v>POLI. METROPOLITANO HUANCAYO</v>
      </c>
      <c r="J119" s="7">
        <v>19931537</v>
      </c>
      <c r="K119" s="7" t="s">
        <v>8</v>
      </c>
    </row>
    <row r="120" spans="1:11" x14ac:dyDescent="0.2">
      <c r="A120" s="4">
        <f t="shared" si="1"/>
        <v>119</v>
      </c>
      <c r="B120" s="4"/>
      <c r="C120" s="4"/>
      <c r="D120" s="17">
        <v>46069</v>
      </c>
      <c r="E120" s="6"/>
      <c r="F120" s="6" t="s">
        <v>134</v>
      </c>
      <c r="G120" s="7">
        <v>72</v>
      </c>
      <c r="H120" s="8">
        <v>494</v>
      </c>
      <c r="I120" s="4" t="str">
        <f>VLOOKUP(H120,[1]policlin!B:C,2,1)</f>
        <v>CAP III MANTARO</v>
      </c>
      <c r="J120" s="7">
        <v>8048299</v>
      </c>
      <c r="K120" s="7" t="s">
        <v>8</v>
      </c>
    </row>
    <row r="121" spans="1:11" x14ac:dyDescent="0.2">
      <c r="A121" s="4">
        <f t="shared" si="1"/>
        <v>120</v>
      </c>
      <c r="B121" s="4"/>
      <c r="C121" s="4"/>
      <c r="D121" s="17">
        <v>46077</v>
      </c>
      <c r="E121" s="10"/>
      <c r="F121" s="6" t="s">
        <v>135</v>
      </c>
      <c r="G121" s="7">
        <v>78</v>
      </c>
      <c r="H121" s="8">
        <v>431</v>
      </c>
      <c r="I121" s="4" t="str">
        <f>VLOOKUP(H121,[1]policlin!B:C,2,1)</f>
        <v>POLI. METROPOLITANO HUANCAYO</v>
      </c>
      <c r="J121" s="7">
        <v>19861581</v>
      </c>
      <c r="K121" s="7" t="s">
        <v>8</v>
      </c>
    </row>
    <row r="122" spans="1:11" x14ac:dyDescent="0.2">
      <c r="A122" s="4">
        <f t="shared" si="1"/>
        <v>121</v>
      </c>
      <c r="B122" s="4"/>
      <c r="C122" s="4"/>
      <c r="D122" s="13"/>
      <c r="E122" s="6" t="s">
        <v>398</v>
      </c>
      <c r="F122" s="6" t="s">
        <v>136</v>
      </c>
      <c r="G122" s="7">
        <v>70</v>
      </c>
      <c r="H122" s="8">
        <v>494</v>
      </c>
      <c r="I122" s="4" t="str">
        <f>VLOOKUP(H122,[1]policlin!B:C,2,1)</f>
        <v>CAP III MANTARO</v>
      </c>
      <c r="J122" s="7">
        <v>19811381</v>
      </c>
      <c r="K122" s="7" t="s">
        <v>8</v>
      </c>
    </row>
    <row r="123" spans="1:11" x14ac:dyDescent="0.2">
      <c r="A123" s="4">
        <f t="shared" si="1"/>
        <v>122</v>
      </c>
      <c r="B123" s="4"/>
      <c r="C123" s="4"/>
      <c r="D123" s="17">
        <v>46062</v>
      </c>
      <c r="E123" s="6"/>
      <c r="F123" s="6" t="s">
        <v>137</v>
      </c>
      <c r="G123" s="7">
        <v>71</v>
      </c>
      <c r="H123" s="8">
        <v>431</v>
      </c>
      <c r="I123" s="4" t="str">
        <f>VLOOKUP(H123,[1]policlin!B:C,2,1)</f>
        <v>POLI. METROPOLITANO HUANCAYO</v>
      </c>
      <c r="J123" s="7">
        <v>19965811</v>
      </c>
      <c r="K123" s="7" t="s">
        <v>8</v>
      </c>
    </row>
    <row r="124" spans="1:11" x14ac:dyDescent="0.2">
      <c r="A124" s="4">
        <f t="shared" si="1"/>
        <v>123</v>
      </c>
      <c r="B124" s="4"/>
      <c r="C124" s="4"/>
      <c r="D124" s="13"/>
      <c r="E124" s="6" t="s">
        <v>399</v>
      </c>
      <c r="F124" s="6" t="s">
        <v>138</v>
      </c>
      <c r="G124" s="7">
        <v>80</v>
      </c>
      <c r="H124" s="8">
        <v>494</v>
      </c>
      <c r="I124" s="4" t="str">
        <f>VLOOKUP(H124,[1]policlin!B:C,2,1)</f>
        <v>CAP III MANTARO</v>
      </c>
      <c r="J124" s="7">
        <v>20973671</v>
      </c>
      <c r="K124" s="7" t="s">
        <v>8</v>
      </c>
    </row>
    <row r="125" spans="1:11" x14ac:dyDescent="0.2">
      <c r="A125" s="4">
        <f t="shared" si="1"/>
        <v>124</v>
      </c>
      <c r="B125" s="4"/>
      <c r="C125" s="5">
        <v>46107</v>
      </c>
      <c r="D125" s="13"/>
      <c r="E125" s="6" t="s">
        <v>397</v>
      </c>
      <c r="F125" s="6" t="s">
        <v>139</v>
      </c>
      <c r="G125" s="7">
        <v>76</v>
      </c>
      <c r="H125" s="8">
        <v>431</v>
      </c>
      <c r="I125" s="4" t="str">
        <f>VLOOKUP(H125,[1]policlin!B:C,2,1)</f>
        <v>POLI. METROPOLITANO HUANCAYO</v>
      </c>
      <c r="J125" s="7">
        <v>19923030</v>
      </c>
      <c r="K125" s="7" t="s">
        <v>8</v>
      </c>
    </row>
    <row r="126" spans="1:11" x14ac:dyDescent="0.2">
      <c r="A126" s="4">
        <f t="shared" si="1"/>
        <v>125</v>
      </c>
      <c r="B126" s="4"/>
      <c r="C126" s="4"/>
      <c r="D126" s="17">
        <v>46073</v>
      </c>
      <c r="E126" s="6"/>
      <c r="F126" s="6" t="s">
        <v>140</v>
      </c>
      <c r="G126" s="7">
        <v>83</v>
      </c>
      <c r="H126" s="8">
        <v>454</v>
      </c>
      <c r="I126" s="4" t="str">
        <f>VLOOKUP(H126,[1]policlin!B:C,2,1)</f>
        <v>CAP II CHILCA</v>
      </c>
      <c r="J126" s="7">
        <v>19810534</v>
      </c>
      <c r="K126" s="7" t="s">
        <v>8</v>
      </c>
    </row>
    <row r="127" spans="1:11" x14ac:dyDescent="0.2">
      <c r="A127" s="4">
        <f t="shared" si="1"/>
        <v>126</v>
      </c>
      <c r="B127" s="4"/>
      <c r="C127" s="5">
        <v>46100</v>
      </c>
      <c r="D127" s="13"/>
      <c r="E127" s="6" t="s">
        <v>401</v>
      </c>
      <c r="F127" s="6" t="s">
        <v>141</v>
      </c>
      <c r="G127" s="7">
        <v>73</v>
      </c>
      <c r="H127" s="8">
        <v>431</v>
      </c>
      <c r="I127" s="4" t="str">
        <f>VLOOKUP(H127,[1]policlin!B:C,2,1)</f>
        <v>POLI. METROPOLITANO HUANCAYO</v>
      </c>
      <c r="J127" s="7">
        <v>19913950</v>
      </c>
      <c r="K127" s="7" t="s">
        <v>8</v>
      </c>
    </row>
    <row r="128" spans="1:11" x14ac:dyDescent="0.2">
      <c r="A128" s="4">
        <f t="shared" si="1"/>
        <v>127</v>
      </c>
      <c r="B128" s="4"/>
      <c r="C128" s="4"/>
      <c r="D128" s="17">
        <v>46079</v>
      </c>
      <c r="E128" s="6"/>
      <c r="F128" s="6" t="s">
        <v>142</v>
      </c>
      <c r="G128" s="7">
        <v>88</v>
      </c>
      <c r="H128" s="8">
        <v>431</v>
      </c>
      <c r="I128" s="4" t="str">
        <f>VLOOKUP(H128,[1]policlin!B:C,2,1)</f>
        <v>POLI. METROPOLITANO HUANCAYO</v>
      </c>
      <c r="J128" s="7">
        <v>19911651</v>
      </c>
      <c r="K128" s="7" t="s">
        <v>8</v>
      </c>
    </row>
    <row r="129" spans="1:11" x14ac:dyDescent="0.2">
      <c r="A129" s="4">
        <f t="shared" si="1"/>
        <v>128</v>
      </c>
      <c r="B129" s="5">
        <v>46132</v>
      </c>
      <c r="C129" s="4"/>
      <c r="D129" s="17">
        <v>46069</v>
      </c>
      <c r="E129" s="6"/>
      <c r="F129" s="6" t="s">
        <v>143</v>
      </c>
      <c r="G129" s="7">
        <v>76</v>
      </c>
      <c r="H129" s="8">
        <v>431</v>
      </c>
      <c r="I129" s="4" t="str">
        <f>VLOOKUP(H129,[1]policlin!B:C,2,1)</f>
        <v>POLI. METROPOLITANO HUANCAYO</v>
      </c>
      <c r="J129" s="7">
        <v>19823047</v>
      </c>
      <c r="K129" s="7" t="s">
        <v>8</v>
      </c>
    </row>
    <row r="130" spans="1:11" x14ac:dyDescent="0.2">
      <c r="A130" s="4">
        <f t="shared" si="1"/>
        <v>129</v>
      </c>
      <c r="B130" s="4"/>
      <c r="C130" s="5">
        <v>46094</v>
      </c>
      <c r="D130" s="17">
        <v>46073</v>
      </c>
      <c r="E130" s="6"/>
      <c r="F130" s="6" t="s">
        <v>144</v>
      </c>
      <c r="G130" s="7">
        <v>85</v>
      </c>
      <c r="H130" s="8">
        <v>431</v>
      </c>
      <c r="I130" s="4" t="str">
        <f>VLOOKUP(H130,[1]policlin!B:C,2,1)</f>
        <v>POLI. METROPOLITANO HUANCAYO</v>
      </c>
      <c r="J130" s="7">
        <v>19929279</v>
      </c>
      <c r="K130" s="15" t="s">
        <v>90</v>
      </c>
    </row>
    <row r="131" spans="1:11" x14ac:dyDescent="0.2">
      <c r="A131" s="4">
        <f t="shared" si="1"/>
        <v>130</v>
      </c>
      <c r="B131" s="4"/>
      <c r="C131" s="4"/>
      <c r="D131" s="13"/>
      <c r="E131" s="6" t="s">
        <v>407</v>
      </c>
      <c r="F131" s="6" t="s">
        <v>145</v>
      </c>
      <c r="G131" s="7">
        <v>30</v>
      </c>
      <c r="H131" s="8">
        <v>431</v>
      </c>
      <c r="I131" s="4" t="str">
        <f>VLOOKUP(H131,[1]policlin!B:C,2,1)</f>
        <v>POLI. METROPOLITANO HUANCAYO</v>
      </c>
      <c r="J131" s="7">
        <v>72906665</v>
      </c>
      <c r="K131" s="7" t="s">
        <v>8</v>
      </c>
    </row>
    <row r="132" spans="1:11" x14ac:dyDescent="0.2">
      <c r="A132" s="4">
        <f t="shared" ref="A132:A195" si="2">SUM(1+A131)</f>
        <v>131</v>
      </c>
      <c r="B132" s="4"/>
      <c r="C132" s="5">
        <v>46086</v>
      </c>
      <c r="D132" s="13"/>
      <c r="E132" s="6"/>
      <c r="F132" s="6" t="s">
        <v>146</v>
      </c>
      <c r="G132" s="7">
        <v>50</v>
      </c>
      <c r="H132" s="8">
        <v>494</v>
      </c>
      <c r="I132" s="4" t="str">
        <f>VLOOKUP(H132,[1]policlin!B:C,2,1)</f>
        <v>CAP III MANTARO</v>
      </c>
      <c r="J132" s="7">
        <v>16168942</v>
      </c>
      <c r="K132" s="7" t="s">
        <v>8</v>
      </c>
    </row>
    <row r="133" spans="1:11" x14ac:dyDescent="0.2">
      <c r="A133" s="4">
        <f t="shared" si="2"/>
        <v>132</v>
      </c>
      <c r="B133" s="4"/>
      <c r="C133" s="4"/>
      <c r="D133" s="13"/>
      <c r="E133" s="6" t="s">
        <v>402</v>
      </c>
      <c r="F133" s="6" t="s">
        <v>147</v>
      </c>
      <c r="G133" s="7">
        <v>73</v>
      </c>
      <c r="H133" s="8">
        <v>494</v>
      </c>
      <c r="I133" s="4" t="str">
        <f>VLOOKUP(H133,[1]policlin!B:C,2,1)</f>
        <v>CAP III MANTARO</v>
      </c>
      <c r="J133" s="7">
        <v>19823914</v>
      </c>
      <c r="K133" s="7" t="s">
        <v>8</v>
      </c>
    </row>
    <row r="134" spans="1:11" x14ac:dyDescent="0.2">
      <c r="A134" s="4">
        <f t="shared" si="2"/>
        <v>133</v>
      </c>
      <c r="B134" s="4"/>
      <c r="C134" s="4"/>
      <c r="D134" s="13"/>
      <c r="E134" s="6" t="s">
        <v>399</v>
      </c>
      <c r="F134" s="6" t="s">
        <v>148</v>
      </c>
      <c r="G134" s="7">
        <v>81</v>
      </c>
      <c r="H134" s="8">
        <v>431</v>
      </c>
      <c r="I134" s="4" t="str">
        <f>VLOOKUP(H134,[1]policlin!B:C,2,1)</f>
        <v>POLI. METROPOLITANO HUANCAYO</v>
      </c>
      <c r="J134" s="7">
        <v>10510322</v>
      </c>
      <c r="K134" s="7" t="s">
        <v>8</v>
      </c>
    </row>
    <row r="135" spans="1:11" x14ac:dyDescent="0.2">
      <c r="A135" s="4">
        <f t="shared" si="2"/>
        <v>134</v>
      </c>
      <c r="B135" s="4"/>
      <c r="C135" s="4"/>
      <c r="D135" s="13"/>
      <c r="E135" s="9">
        <v>46053</v>
      </c>
      <c r="F135" s="6" t="s">
        <v>149</v>
      </c>
      <c r="G135" s="7">
        <v>75</v>
      </c>
      <c r="H135" s="8">
        <v>312</v>
      </c>
      <c r="I135" s="4" t="str">
        <f>VLOOKUP(H135,[1]policlin!B:C,2,1)</f>
        <v>C. M. CONCEPCION</v>
      </c>
      <c r="J135" s="7">
        <v>20424358</v>
      </c>
      <c r="K135" s="7" t="s">
        <v>8</v>
      </c>
    </row>
    <row r="136" spans="1:11" x14ac:dyDescent="0.2">
      <c r="A136" s="4">
        <f t="shared" si="2"/>
        <v>135</v>
      </c>
      <c r="B136" s="4"/>
      <c r="C136" s="4"/>
      <c r="D136" s="13"/>
      <c r="E136" s="4" t="s">
        <v>399</v>
      </c>
      <c r="F136" s="6" t="s">
        <v>150</v>
      </c>
      <c r="G136" s="7">
        <v>74</v>
      </c>
      <c r="H136" s="8">
        <v>431</v>
      </c>
      <c r="I136" s="4" t="str">
        <f>VLOOKUP(H136,[1]policlin!B:C,2,1)</f>
        <v>POLI. METROPOLITANO HUANCAYO</v>
      </c>
      <c r="J136" s="7">
        <v>20100700</v>
      </c>
      <c r="K136" s="7" t="s">
        <v>8</v>
      </c>
    </row>
    <row r="137" spans="1:11" x14ac:dyDescent="0.2">
      <c r="A137" s="4">
        <f t="shared" si="2"/>
        <v>136</v>
      </c>
      <c r="B137" s="4"/>
      <c r="C137" s="4"/>
      <c r="D137" s="13"/>
      <c r="E137" s="6" t="s">
        <v>408</v>
      </c>
      <c r="F137" s="6" t="s">
        <v>151</v>
      </c>
      <c r="G137" s="7">
        <v>80</v>
      </c>
      <c r="H137" s="8">
        <v>312</v>
      </c>
      <c r="I137" s="4" t="str">
        <f>VLOOKUP(H137,[1]policlin!B:C,2,1)</f>
        <v>C. M. CONCEPCION</v>
      </c>
      <c r="J137" s="7">
        <v>20426546</v>
      </c>
      <c r="K137" s="7" t="s">
        <v>8</v>
      </c>
    </row>
    <row r="138" spans="1:11" x14ac:dyDescent="0.2">
      <c r="A138" s="4">
        <f t="shared" si="2"/>
        <v>137</v>
      </c>
      <c r="B138" s="4"/>
      <c r="C138" s="4"/>
      <c r="D138" s="13"/>
      <c r="E138" s="9">
        <v>46052</v>
      </c>
      <c r="F138" s="6" t="s">
        <v>152</v>
      </c>
      <c r="G138" s="7">
        <v>66</v>
      </c>
      <c r="H138" s="8">
        <v>431</v>
      </c>
      <c r="I138" s="4" t="str">
        <f>VLOOKUP(H138,[1]policlin!B:C,2,1)</f>
        <v>POLI. METROPOLITANO HUANCAYO</v>
      </c>
      <c r="J138" s="7">
        <v>19952916</v>
      </c>
      <c r="K138" s="7" t="s">
        <v>8</v>
      </c>
    </row>
    <row r="139" spans="1:11" x14ac:dyDescent="0.2">
      <c r="A139" s="4">
        <f t="shared" si="2"/>
        <v>138</v>
      </c>
      <c r="B139" s="4"/>
      <c r="C139" s="4"/>
      <c r="D139" s="17">
        <v>46079</v>
      </c>
      <c r="E139" s="6"/>
      <c r="F139" s="6" t="s">
        <v>153</v>
      </c>
      <c r="G139" s="7">
        <v>78</v>
      </c>
      <c r="H139" s="8">
        <v>494</v>
      </c>
      <c r="I139" s="4" t="str">
        <f>VLOOKUP(H139,[1]policlin!B:C,2,1)</f>
        <v>CAP III MANTARO</v>
      </c>
      <c r="J139" s="7">
        <v>19991358</v>
      </c>
      <c r="K139" s="7" t="s">
        <v>8</v>
      </c>
    </row>
    <row r="140" spans="1:11" x14ac:dyDescent="0.2">
      <c r="A140" s="4">
        <f t="shared" si="2"/>
        <v>139</v>
      </c>
      <c r="B140" s="4"/>
      <c r="C140" s="4"/>
      <c r="D140" s="13"/>
      <c r="E140" s="6" t="s">
        <v>400</v>
      </c>
      <c r="F140" s="6" t="s">
        <v>154</v>
      </c>
      <c r="G140" s="7">
        <v>84</v>
      </c>
      <c r="H140" s="8">
        <v>454</v>
      </c>
      <c r="I140" s="4" t="str">
        <f>VLOOKUP(H140,[1]policlin!B:C,2,1)</f>
        <v>CAP II CHILCA</v>
      </c>
      <c r="J140" s="7">
        <v>23445826</v>
      </c>
      <c r="K140" s="7" t="s">
        <v>8</v>
      </c>
    </row>
    <row r="141" spans="1:11" x14ac:dyDescent="0.2">
      <c r="A141" s="4">
        <f t="shared" si="2"/>
        <v>140</v>
      </c>
      <c r="B141" s="4"/>
      <c r="C141" s="4"/>
      <c r="D141" s="13"/>
      <c r="E141" s="6" t="s">
        <v>400</v>
      </c>
      <c r="F141" s="6" t="s">
        <v>155</v>
      </c>
      <c r="G141" s="7">
        <v>77</v>
      </c>
      <c r="H141" s="8">
        <v>431</v>
      </c>
      <c r="I141" s="4" t="str">
        <f>VLOOKUP(H141,[1]policlin!B:C,2,1)</f>
        <v>POLI. METROPOLITANO HUANCAYO</v>
      </c>
      <c r="J141" s="7">
        <v>19852620</v>
      </c>
      <c r="K141" s="7" t="s">
        <v>8</v>
      </c>
    </row>
    <row r="142" spans="1:11" x14ac:dyDescent="0.2">
      <c r="A142" s="4">
        <f t="shared" si="2"/>
        <v>141</v>
      </c>
      <c r="B142" s="4"/>
      <c r="C142" s="4"/>
      <c r="D142" s="17">
        <v>46073</v>
      </c>
      <c r="E142" s="6"/>
      <c r="F142" s="6" t="s">
        <v>156</v>
      </c>
      <c r="G142" s="7">
        <v>89</v>
      </c>
      <c r="H142" s="8">
        <v>454</v>
      </c>
      <c r="I142" s="4" t="str">
        <f>VLOOKUP(H142,[1]policlin!B:C,2,1)</f>
        <v>CAP II CHILCA</v>
      </c>
      <c r="J142" s="7">
        <v>19807111</v>
      </c>
      <c r="K142" s="7" t="s">
        <v>8</v>
      </c>
    </row>
    <row r="143" spans="1:11" x14ac:dyDescent="0.2">
      <c r="A143" s="4">
        <f t="shared" si="2"/>
        <v>142</v>
      </c>
      <c r="B143" s="4"/>
      <c r="C143" s="4"/>
      <c r="D143" s="17">
        <v>46059</v>
      </c>
      <c r="E143" s="6"/>
      <c r="F143" s="6" t="s">
        <v>157</v>
      </c>
      <c r="G143" s="7">
        <v>77</v>
      </c>
      <c r="H143" s="8">
        <v>494</v>
      </c>
      <c r="I143" s="4" t="str">
        <f>VLOOKUP(H143,[1]policlin!B:C,2,1)</f>
        <v>CAP III MANTARO</v>
      </c>
      <c r="J143" s="7">
        <v>19997384</v>
      </c>
      <c r="K143" s="7" t="s">
        <v>8</v>
      </c>
    </row>
    <row r="144" spans="1:11" x14ac:dyDescent="0.2">
      <c r="A144" s="4">
        <f t="shared" si="2"/>
        <v>143</v>
      </c>
      <c r="B144" s="4"/>
      <c r="C144" s="4"/>
      <c r="D144" s="13"/>
      <c r="E144" s="6" t="s">
        <v>397</v>
      </c>
      <c r="F144" s="6" t="s">
        <v>158</v>
      </c>
      <c r="G144" s="7">
        <v>75</v>
      </c>
      <c r="H144" s="8">
        <v>431</v>
      </c>
      <c r="I144" s="4" t="str">
        <f>VLOOKUP(H144,[1]policlin!B:C,2,1)</f>
        <v>POLI. METROPOLITANO HUANCAYO</v>
      </c>
      <c r="J144" s="7">
        <v>19838600</v>
      </c>
      <c r="K144" s="7" t="s">
        <v>8</v>
      </c>
    </row>
    <row r="145" spans="1:11" x14ac:dyDescent="0.2">
      <c r="A145" s="4">
        <f t="shared" si="2"/>
        <v>144</v>
      </c>
      <c r="B145" s="4"/>
      <c r="C145" s="4"/>
      <c r="D145" s="17">
        <v>46079</v>
      </c>
      <c r="E145" s="6"/>
      <c r="F145" s="6" t="s">
        <v>159</v>
      </c>
      <c r="G145" s="7">
        <v>48</v>
      </c>
      <c r="H145" s="8">
        <v>310</v>
      </c>
      <c r="I145" s="4" t="str">
        <f>VLOOKUP(H145,[1]policlin!B:C,2,1)</f>
        <v>HOSP. I TARMA</v>
      </c>
      <c r="J145" s="7">
        <v>21139691</v>
      </c>
      <c r="K145" s="7" t="s">
        <v>8</v>
      </c>
    </row>
    <row r="146" spans="1:11" x14ac:dyDescent="0.2">
      <c r="A146" s="4">
        <f t="shared" si="2"/>
        <v>145</v>
      </c>
      <c r="B146" s="4"/>
      <c r="C146" s="4"/>
      <c r="D146" s="13"/>
      <c r="E146" s="6" t="s">
        <v>399</v>
      </c>
      <c r="F146" s="6" t="s">
        <v>160</v>
      </c>
      <c r="G146" s="7">
        <v>77</v>
      </c>
      <c r="H146" s="8">
        <v>454</v>
      </c>
      <c r="I146" s="4" t="str">
        <f>VLOOKUP(H146,[1]policlin!B:C,2,1)</f>
        <v>CAP II CHILCA</v>
      </c>
      <c r="J146" s="7">
        <v>19835827</v>
      </c>
      <c r="K146" s="7" t="s">
        <v>8</v>
      </c>
    </row>
    <row r="147" spans="1:11" x14ac:dyDescent="0.2">
      <c r="A147" s="4">
        <f t="shared" si="2"/>
        <v>146</v>
      </c>
      <c r="B147" s="4"/>
      <c r="C147" s="4"/>
      <c r="D147" s="13"/>
      <c r="E147" s="6" t="s">
        <v>406</v>
      </c>
      <c r="F147" s="6" t="s">
        <v>161</v>
      </c>
      <c r="G147" s="7">
        <v>47</v>
      </c>
      <c r="H147" s="8">
        <v>334</v>
      </c>
      <c r="I147" s="4" t="str">
        <f>VLOOKUP(H147,[1]policlin!B:C,2,1)</f>
        <v>HOSP. I OXAPAMPA</v>
      </c>
      <c r="J147" s="7">
        <v>4341805</v>
      </c>
      <c r="K147" s="7" t="s">
        <v>8</v>
      </c>
    </row>
    <row r="148" spans="1:11" x14ac:dyDescent="0.2">
      <c r="A148" s="4">
        <f t="shared" si="2"/>
        <v>147</v>
      </c>
      <c r="B148" s="4"/>
      <c r="C148" s="4"/>
      <c r="D148" s="13"/>
      <c r="E148" s="6" t="s">
        <v>403</v>
      </c>
      <c r="F148" s="6" t="s">
        <v>162</v>
      </c>
      <c r="G148" s="7">
        <v>78</v>
      </c>
      <c r="H148" s="8">
        <v>431</v>
      </c>
      <c r="I148" s="4" t="str">
        <f>VLOOKUP(H148,[1]policlin!B:C,2,1)</f>
        <v>POLI. METROPOLITANO HUANCAYO</v>
      </c>
      <c r="J148" s="7">
        <v>19912591</v>
      </c>
      <c r="K148" s="7" t="s">
        <v>8</v>
      </c>
    </row>
    <row r="149" spans="1:11" x14ac:dyDescent="0.2">
      <c r="A149" s="4">
        <f t="shared" si="2"/>
        <v>148</v>
      </c>
      <c r="B149" s="4"/>
      <c r="C149" s="4"/>
      <c r="D149" s="17">
        <v>46076</v>
      </c>
      <c r="E149" s="6"/>
      <c r="F149" s="6" t="s">
        <v>163</v>
      </c>
      <c r="G149" s="7">
        <v>76</v>
      </c>
      <c r="H149" s="8">
        <v>310</v>
      </c>
      <c r="I149" s="4" t="str">
        <f>VLOOKUP(H149,[1]policlin!B:C,2,1)</f>
        <v>HOSP. I TARMA</v>
      </c>
      <c r="J149" s="7">
        <v>21074523</v>
      </c>
      <c r="K149" s="7" t="s">
        <v>8</v>
      </c>
    </row>
    <row r="150" spans="1:11" x14ac:dyDescent="0.2">
      <c r="A150" s="4">
        <f t="shared" si="2"/>
        <v>149</v>
      </c>
      <c r="B150" s="4"/>
      <c r="C150" s="4"/>
      <c r="D150" s="13"/>
      <c r="E150" s="6" t="s">
        <v>406</v>
      </c>
      <c r="F150" s="6" t="s">
        <v>164</v>
      </c>
      <c r="G150" s="7">
        <v>58</v>
      </c>
      <c r="H150" s="8">
        <v>494</v>
      </c>
      <c r="I150" s="4" t="str">
        <f>VLOOKUP(H150,[1]policlin!B:C,2,1)</f>
        <v>CAP III MANTARO</v>
      </c>
      <c r="J150" s="7">
        <v>21072185</v>
      </c>
      <c r="K150" s="7" t="s">
        <v>8</v>
      </c>
    </row>
    <row r="151" spans="1:11" x14ac:dyDescent="0.2">
      <c r="A151" s="4">
        <f t="shared" si="2"/>
        <v>150</v>
      </c>
      <c r="B151" s="4"/>
      <c r="C151" s="5">
        <v>46090</v>
      </c>
      <c r="D151" s="13"/>
      <c r="E151" s="6"/>
      <c r="F151" s="6" t="s">
        <v>165</v>
      </c>
      <c r="G151" s="7">
        <v>63</v>
      </c>
      <c r="H151" s="8">
        <v>504</v>
      </c>
      <c r="I151" s="4" t="str">
        <f>VLOOKUP(H151,[1]policlin!B:C,2,1)</f>
        <v>CAP II CHUPACA</v>
      </c>
      <c r="J151" s="7">
        <v>19983201</v>
      </c>
      <c r="K151" s="7" t="s">
        <v>8</v>
      </c>
    </row>
    <row r="152" spans="1:11" x14ac:dyDescent="0.2">
      <c r="A152" s="4">
        <f t="shared" si="2"/>
        <v>151</v>
      </c>
      <c r="B152" s="4"/>
      <c r="C152" s="4"/>
      <c r="D152" s="13"/>
      <c r="E152" s="6" t="s">
        <v>408</v>
      </c>
      <c r="F152" s="6" t="s">
        <v>166</v>
      </c>
      <c r="G152" s="7">
        <v>62</v>
      </c>
      <c r="H152" s="8">
        <v>454</v>
      </c>
      <c r="I152" s="4" t="str">
        <f>VLOOKUP(H152,[1]policlin!B:C,2,1)</f>
        <v>CAP II CHILCA</v>
      </c>
      <c r="J152" s="7">
        <v>23226164</v>
      </c>
      <c r="K152" s="7" t="s">
        <v>8</v>
      </c>
    </row>
    <row r="153" spans="1:11" x14ac:dyDescent="0.2">
      <c r="A153" s="4">
        <f t="shared" si="2"/>
        <v>152</v>
      </c>
      <c r="B153" s="4"/>
      <c r="C153" s="4"/>
      <c r="D153" s="13"/>
      <c r="E153" s="6" t="s">
        <v>398</v>
      </c>
      <c r="F153" s="6" t="s">
        <v>167</v>
      </c>
      <c r="G153" s="7">
        <v>84</v>
      </c>
      <c r="H153" s="8">
        <v>494</v>
      </c>
      <c r="I153" s="4" t="str">
        <f>VLOOKUP(H153,[1]policlin!B:C,2,1)</f>
        <v>CAP III MANTARO</v>
      </c>
      <c r="J153" s="7">
        <v>19827750</v>
      </c>
      <c r="K153" s="7" t="s">
        <v>8</v>
      </c>
    </row>
    <row r="154" spans="1:11" x14ac:dyDescent="0.2">
      <c r="A154" s="4">
        <f t="shared" si="2"/>
        <v>153</v>
      </c>
      <c r="B154" s="4"/>
      <c r="C154" s="4"/>
      <c r="D154" s="13"/>
      <c r="E154" s="6" t="s">
        <v>397</v>
      </c>
      <c r="F154" s="6" t="s">
        <v>168</v>
      </c>
      <c r="G154" s="7">
        <v>57</v>
      </c>
      <c r="H154" s="8">
        <v>431</v>
      </c>
      <c r="I154" s="4" t="str">
        <f>VLOOKUP(H154,[1]policlin!B:C,2,1)</f>
        <v>POLI. METROPOLITANO HUANCAYO</v>
      </c>
      <c r="J154" s="7">
        <v>20023538</v>
      </c>
      <c r="K154" s="7" t="s">
        <v>8</v>
      </c>
    </row>
    <row r="155" spans="1:11" x14ac:dyDescent="0.2">
      <c r="A155" s="4">
        <f t="shared" si="2"/>
        <v>154</v>
      </c>
      <c r="B155" s="4"/>
      <c r="C155" s="4"/>
      <c r="D155" s="17">
        <v>46066</v>
      </c>
      <c r="E155" s="6"/>
      <c r="F155" s="6" t="s">
        <v>169</v>
      </c>
      <c r="G155" s="7">
        <v>71</v>
      </c>
      <c r="H155" s="8">
        <v>494</v>
      </c>
      <c r="I155" s="4" t="str">
        <f>VLOOKUP(H155,[1]policlin!B:C,2,1)</f>
        <v>CAP III MANTARO</v>
      </c>
      <c r="J155" s="7">
        <v>19825590</v>
      </c>
      <c r="K155" s="7" t="s">
        <v>8</v>
      </c>
    </row>
    <row r="156" spans="1:11" x14ac:dyDescent="0.2">
      <c r="A156" s="4">
        <f t="shared" si="2"/>
        <v>155</v>
      </c>
      <c r="B156" s="4"/>
      <c r="C156" s="4"/>
      <c r="D156" s="17">
        <v>46069</v>
      </c>
      <c r="E156" s="6"/>
      <c r="F156" s="6" t="s">
        <v>170</v>
      </c>
      <c r="G156" s="7">
        <v>67</v>
      </c>
      <c r="H156" s="8">
        <v>312</v>
      </c>
      <c r="I156" s="4" t="str">
        <f>VLOOKUP(H156,[1]policlin!B:C,2,1)</f>
        <v>C. M. CONCEPCION</v>
      </c>
      <c r="J156" s="7">
        <v>20403445</v>
      </c>
      <c r="K156" s="7" t="s">
        <v>8</v>
      </c>
    </row>
    <row r="157" spans="1:11" x14ac:dyDescent="0.2">
      <c r="A157" s="4">
        <f t="shared" si="2"/>
        <v>156</v>
      </c>
      <c r="B157" s="4"/>
      <c r="C157" s="4"/>
      <c r="D157" s="13"/>
      <c r="E157" s="6" t="s">
        <v>399</v>
      </c>
      <c r="F157" s="6" t="s">
        <v>171</v>
      </c>
      <c r="G157" s="7">
        <v>60</v>
      </c>
      <c r="H157" s="8">
        <v>340</v>
      </c>
      <c r="I157" s="4" t="str">
        <f>VLOOKUP(H157,[1]policlin!B:C,2,1)</f>
        <v>P. M. VILLA RICA</v>
      </c>
      <c r="J157" s="7">
        <v>4204068</v>
      </c>
      <c r="K157" s="7" t="s">
        <v>8</v>
      </c>
    </row>
    <row r="158" spans="1:11" x14ac:dyDescent="0.2">
      <c r="A158" s="4">
        <f t="shared" si="2"/>
        <v>157</v>
      </c>
      <c r="B158" s="4"/>
      <c r="C158" s="5">
        <v>46107</v>
      </c>
      <c r="D158" s="13"/>
      <c r="E158" s="6"/>
      <c r="F158" s="6" t="s">
        <v>172</v>
      </c>
      <c r="G158" s="7">
        <v>79</v>
      </c>
      <c r="H158" s="8">
        <v>311</v>
      </c>
      <c r="I158" s="4" t="str">
        <f>VLOOKUP(H158,[1]policlin!B:C,2,1)</f>
        <v>POLI. JAUJA</v>
      </c>
      <c r="J158" s="7">
        <v>20647030</v>
      </c>
      <c r="K158" s="7" t="s">
        <v>8</v>
      </c>
    </row>
    <row r="159" spans="1:11" x14ac:dyDescent="0.2">
      <c r="A159" s="4">
        <f t="shared" si="2"/>
        <v>158</v>
      </c>
      <c r="B159" s="4"/>
      <c r="C159" s="4"/>
      <c r="D159" s="13"/>
      <c r="E159" s="6" t="s">
        <v>399</v>
      </c>
      <c r="F159" s="6" t="s">
        <v>173</v>
      </c>
      <c r="G159" s="7">
        <v>75</v>
      </c>
      <c r="H159" s="8">
        <v>431</v>
      </c>
      <c r="I159" s="4" t="str">
        <f>VLOOKUP(H159,[1]policlin!B:C,2,1)</f>
        <v>POLI. METROPOLITANO HUANCAYO</v>
      </c>
      <c r="J159" s="7">
        <v>10370625</v>
      </c>
      <c r="K159" s="7" t="s">
        <v>8</v>
      </c>
    </row>
    <row r="160" spans="1:11" x14ac:dyDescent="0.2">
      <c r="A160" s="4">
        <f t="shared" si="2"/>
        <v>159</v>
      </c>
      <c r="B160" s="4"/>
      <c r="C160" s="4"/>
      <c r="D160" s="13"/>
      <c r="E160" s="6" t="s">
        <v>397</v>
      </c>
      <c r="F160" s="6" t="s">
        <v>174</v>
      </c>
      <c r="G160" s="7">
        <v>87</v>
      </c>
      <c r="H160" s="8">
        <v>431</v>
      </c>
      <c r="I160" s="4" t="str">
        <f>VLOOKUP(H160,[1]policlin!B:C,2,1)</f>
        <v>POLI. METROPOLITANO HUANCAYO</v>
      </c>
      <c r="J160" s="7">
        <v>20007627</v>
      </c>
      <c r="K160" s="7" t="s">
        <v>8</v>
      </c>
    </row>
    <row r="161" spans="1:11" x14ac:dyDescent="0.2">
      <c r="A161" s="4">
        <f t="shared" si="2"/>
        <v>160</v>
      </c>
      <c r="B161" s="4"/>
      <c r="C161" s="4"/>
      <c r="D161" s="13"/>
      <c r="E161" s="6" t="s">
        <v>410</v>
      </c>
      <c r="F161" s="10" t="s">
        <v>175</v>
      </c>
      <c r="G161" s="7">
        <v>46</v>
      </c>
      <c r="H161" s="8">
        <v>296</v>
      </c>
      <c r="I161" s="4" t="str">
        <f>VLOOKUP(H161,[1]policlin!B:C,2,1)</f>
        <v>HOSP. II HUANUCO</v>
      </c>
      <c r="J161" s="7">
        <v>80660225</v>
      </c>
      <c r="K161" s="7" t="s">
        <v>8</v>
      </c>
    </row>
    <row r="162" spans="1:11" x14ac:dyDescent="0.2">
      <c r="A162" s="4">
        <f t="shared" si="2"/>
        <v>161</v>
      </c>
      <c r="B162" s="4"/>
      <c r="C162" s="5">
        <v>46085</v>
      </c>
      <c r="D162" s="13"/>
      <c r="E162" s="6"/>
      <c r="F162" s="6" t="s">
        <v>176</v>
      </c>
      <c r="G162" s="7">
        <v>63</v>
      </c>
      <c r="H162" s="8">
        <v>310</v>
      </c>
      <c r="I162" s="4" t="str">
        <f>VLOOKUP(H162,[1]policlin!B:C,2,1)</f>
        <v>HOSP. I TARMA</v>
      </c>
      <c r="J162" s="7">
        <v>20702498</v>
      </c>
      <c r="K162" s="7" t="s">
        <v>8</v>
      </c>
    </row>
    <row r="163" spans="1:11" x14ac:dyDescent="0.2">
      <c r="A163" s="4">
        <f t="shared" si="2"/>
        <v>162</v>
      </c>
      <c r="B163" s="4"/>
      <c r="C163" s="4"/>
      <c r="D163" s="13"/>
      <c r="E163" s="6" t="s">
        <v>399</v>
      </c>
      <c r="F163" s="6" t="s">
        <v>177</v>
      </c>
      <c r="G163" s="7">
        <v>65</v>
      </c>
      <c r="H163" s="8">
        <v>311</v>
      </c>
      <c r="I163" s="4" t="str">
        <f>VLOOKUP(H163,[1]policlin!B:C,2,1)</f>
        <v>POLI. JAUJA</v>
      </c>
      <c r="J163" s="7">
        <v>21269805</v>
      </c>
      <c r="K163" s="7" t="s">
        <v>8</v>
      </c>
    </row>
    <row r="164" spans="1:11" x14ac:dyDescent="0.2">
      <c r="A164" s="4">
        <f t="shared" si="2"/>
        <v>163</v>
      </c>
      <c r="B164" s="4"/>
      <c r="C164" s="5">
        <v>46101</v>
      </c>
      <c r="D164" s="13"/>
      <c r="E164" s="6"/>
      <c r="F164" s="6" t="s">
        <v>178</v>
      </c>
      <c r="G164" s="7">
        <v>41</v>
      </c>
      <c r="H164" s="8">
        <v>431</v>
      </c>
      <c r="I164" s="4" t="str">
        <f>VLOOKUP(H164,[1]policlin!B:C,2,1)</f>
        <v>POLI. METROPOLITANO HUANCAYO</v>
      </c>
      <c r="J164" s="7">
        <v>42080804</v>
      </c>
      <c r="K164" s="7" t="s">
        <v>8</v>
      </c>
    </row>
    <row r="165" spans="1:11" x14ac:dyDescent="0.2">
      <c r="A165" s="4">
        <f t="shared" si="2"/>
        <v>164</v>
      </c>
      <c r="B165" s="4"/>
      <c r="C165" s="4"/>
      <c r="D165" s="13"/>
      <c r="E165" s="6" t="s">
        <v>397</v>
      </c>
      <c r="F165" s="6" t="s">
        <v>179</v>
      </c>
      <c r="G165" s="7">
        <v>65</v>
      </c>
      <c r="H165" s="8">
        <v>494</v>
      </c>
      <c r="I165" s="4" t="str">
        <f>VLOOKUP(H165,[1]policlin!B:C,2,1)</f>
        <v>CAP III MANTARO</v>
      </c>
      <c r="J165" s="7">
        <v>19810922</v>
      </c>
      <c r="K165" s="7" t="s">
        <v>8</v>
      </c>
    </row>
    <row r="166" spans="1:11" x14ac:dyDescent="0.2">
      <c r="A166" s="4">
        <f t="shared" si="2"/>
        <v>165</v>
      </c>
      <c r="B166" s="4"/>
      <c r="C166" s="4"/>
      <c r="D166" s="13"/>
      <c r="E166" s="6" t="s">
        <v>400</v>
      </c>
      <c r="F166" s="6" t="s">
        <v>180</v>
      </c>
      <c r="G166" s="7">
        <v>71</v>
      </c>
      <c r="H166" s="8">
        <v>431</v>
      </c>
      <c r="I166" s="4" t="str">
        <f>VLOOKUP(H166,[1]policlin!B:C,2,1)</f>
        <v>POLI. METROPOLITANO HUANCAYO</v>
      </c>
      <c r="J166" s="7">
        <v>19889055</v>
      </c>
      <c r="K166" s="7" t="s">
        <v>8</v>
      </c>
    </row>
    <row r="167" spans="1:11" x14ac:dyDescent="0.2">
      <c r="A167" s="4">
        <f t="shared" si="2"/>
        <v>166</v>
      </c>
      <c r="B167" s="4"/>
      <c r="C167" s="4"/>
      <c r="D167" s="13"/>
      <c r="E167" s="9">
        <v>46038</v>
      </c>
      <c r="F167" s="6" t="s">
        <v>181</v>
      </c>
      <c r="G167" s="7">
        <v>80</v>
      </c>
      <c r="H167" s="8">
        <v>431</v>
      </c>
      <c r="I167" s="4" t="str">
        <f>VLOOKUP(H167,[1]policlin!B:C,2,1)</f>
        <v>POLI. METROPOLITANO HUANCAYO</v>
      </c>
      <c r="J167" s="7">
        <v>19992232</v>
      </c>
      <c r="K167" s="7" t="s">
        <v>8</v>
      </c>
    </row>
    <row r="168" spans="1:11" x14ac:dyDescent="0.2">
      <c r="A168" s="4">
        <f t="shared" si="2"/>
        <v>167</v>
      </c>
      <c r="B168" s="4"/>
      <c r="C168" s="4"/>
      <c r="D168" s="13"/>
      <c r="E168" s="9">
        <v>46048</v>
      </c>
      <c r="F168" s="6" t="s">
        <v>182</v>
      </c>
      <c r="G168" s="7">
        <v>75</v>
      </c>
      <c r="H168" s="8">
        <v>494</v>
      </c>
      <c r="I168" s="4" t="str">
        <f>VLOOKUP(H168,[1]policlin!B:C,2,1)</f>
        <v>CAP III MANTARO</v>
      </c>
      <c r="J168" s="7">
        <v>19912363</v>
      </c>
      <c r="K168" s="7" t="s">
        <v>8</v>
      </c>
    </row>
    <row r="169" spans="1:11" x14ac:dyDescent="0.2">
      <c r="A169" s="4">
        <f t="shared" si="2"/>
        <v>168</v>
      </c>
      <c r="B169" s="4"/>
      <c r="C169" s="4"/>
      <c r="D169" s="13"/>
      <c r="E169" s="6" t="s">
        <v>409</v>
      </c>
      <c r="F169" s="6" t="s">
        <v>183</v>
      </c>
      <c r="G169" s="7">
        <v>77</v>
      </c>
      <c r="H169" s="8">
        <v>454</v>
      </c>
      <c r="I169" s="4" t="str">
        <f>VLOOKUP(H169,[1]policlin!B:C,2,1)</f>
        <v>CAP II CHILCA</v>
      </c>
      <c r="J169" s="7">
        <v>29698111</v>
      </c>
      <c r="K169" s="7" t="s">
        <v>8</v>
      </c>
    </row>
    <row r="170" spans="1:11" x14ac:dyDescent="0.2">
      <c r="A170" s="4">
        <f t="shared" si="2"/>
        <v>169</v>
      </c>
      <c r="B170" s="4"/>
      <c r="C170" s="4"/>
      <c r="D170" s="13"/>
      <c r="E170" s="6" t="s">
        <v>397</v>
      </c>
      <c r="F170" s="6" t="s">
        <v>184</v>
      </c>
      <c r="G170" s="7">
        <v>71</v>
      </c>
      <c r="H170" s="8">
        <v>454</v>
      </c>
      <c r="I170" s="4" t="str">
        <f>VLOOKUP(H170,[1]policlin!B:C,2,1)</f>
        <v>CAP II CHILCA</v>
      </c>
      <c r="J170" s="7">
        <v>19817970</v>
      </c>
      <c r="K170" s="7" t="s">
        <v>8</v>
      </c>
    </row>
    <row r="171" spans="1:11" x14ac:dyDescent="0.2">
      <c r="A171" s="4">
        <f t="shared" si="2"/>
        <v>170</v>
      </c>
      <c r="B171" s="4"/>
      <c r="C171" s="5">
        <v>46104</v>
      </c>
      <c r="D171" s="13"/>
      <c r="E171" s="9">
        <v>46045</v>
      </c>
      <c r="F171" s="6" t="s">
        <v>185</v>
      </c>
      <c r="G171" s="7">
        <v>67</v>
      </c>
      <c r="H171" s="8">
        <v>494</v>
      </c>
      <c r="I171" s="4" t="str">
        <f>VLOOKUP(H171,[1]policlin!B:C,2,1)</f>
        <v>CAP III MANTARO</v>
      </c>
      <c r="J171" s="7">
        <v>19814006</v>
      </c>
      <c r="K171" s="7" t="s">
        <v>8</v>
      </c>
    </row>
    <row r="172" spans="1:11" x14ac:dyDescent="0.2">
      <c r="A172" s="4">
        <f t="shared" si="2"/>
        <v>171</v>
      </c>
      <c r="B172" s="4"/>
      <c r="C172" s="4"/>
      <c r="D172" s="13"/>
      <c r="E172" s="6" t="s">
        <v>398</v>
      </c>
      <c r="F172" s="6" t="s">
        <v>186</v>
      </c>
      <c r="G172" s="7">
        <v>53</v>
      </c>
      <c r="H172" s="8">
        <v>431</v>
      </c>
      <c r="I172" s="4" t="str">
        <f>VLOOKUP(H172,[1]policlin!B:C,2,1)</f>
        <v>POLI. METROPOLITANO HUANCAYO</v>
      </c>
      <c r="J172" s="7">
        <v>21114059</v>
      </c>
      <c r="K172" s="7" t="s">
        <v>8</v>
      </c>
    </row>
    <row r="173" spans="1:11" x14ac:dyDescent="0.2">
      <c r="A173" s="4">
        <f t="shared" si="2"/>
        <v>172</v>
      </c>
      <c r="B173" s="4"/>
      <c r="C173" s="4"/>
      <c r="D173" s="17">
        <v>46062</v>
      </c>
      <c r="E173" s="6"/>
      <c r="F173" s="6" t="s">
        <v>187</v>
      </c>
      <c r="G173" s="7">
        <v>63</v>
      </c>
      <c r="H173" s="8">
        <v>431</v>
      </c>
      <c r="I173" s="4" t="str">
        <f>VLOOKUP(H173,[1]policlin!B:C,2,1)</f>
        <v>POLI. METROPOLITANO HUANCAYO</v>
      </c>
      <c r="J173" s="7">
        <v>20403278</v>
      </c>
      <c r="K173" s="7" t="s">
        <v>8</v>
      </c>
    </row>
    <row r="174" spans="1:11" x14ac:dyDescent="0.2">
      <c r="A174" s="4">
        <f t="shared" si="2"/>
        <v>173</v>
      </c>
      <c r="B174" s="4"/>
      <c r="C174" s="5">
        <v>46090</v>
      </c>
      <c r="D174" s="13"/>
      <c r="E174" s="6"/>
      <c r="F174" s="6" t="s">
        <v>188</v>
      </c>
      <c r="G174" s="7">
        <v>77</v>
      </c>
      <c r="H174" s="8">
        <v>494</v>
      </c>
      <c r="I174" s="4" t="str">
        <f>VLOOKUP(H174,[1]policlin!B:C,2,1)</f>
        <v>CAP III MANTARO</v>
      </c>
      <c r="J174" s="7">
        <v>19805129</v>
      </c>
      <c r="K174" s="7" t="s">
        <v>8</v>
      </c>
    </row>
    <row r="175" spans="1:11" x14ac:dyDescent="0.2">
      <c r="A175" s="4">
        <f t="shared" si="2"/>
        <v>174</v>
      </c>
      <c r="B175" s="4"/>
      <c r="C175" s="4"/>
      <c r="D175" s="13"/>
      <c r="E175" s="6" t="s">
        <v>404</v>
      </c>
      <c r="F175" s="6" t="s">
        <v>189</v>
      </c>
      <c r="G175" s="7">
        <v>63</v>
      </c>
      <c r="H175" s="8">
        <v>494</v>
      </c>
      <c r="I175" s="4" t="str">
        <f>VLOOKUP(H175,[1]policlin!B:C,2,1)</f>
        <v>CAP III MANTARO</v>
      </c>
      <c r="J175" s="7">
        <v>19805023</v>
      </c>
      <c r="K175" s="7" t="s">
        <v>8</v>
      </c>
    </row>
    <row r="176" spans="1:11" x14ac:dyDescent="0.2">
      <c r="A176" s="4">
        <f t="shared" si="2"/>
        <v>175</v>
      </c>
      <c r="B176" s="4"/>
      <c r="C176" s="4"/>
      <c r="D176" s="17">
        <v>46079</v>
      </c>
      <c r="E176" s="6"/>
      <c r="F176" s="6" t="s">
        <v>190</v>
      </c>
      <c r="G176" s="7">
        <v>80</v>
      </c>
      <c r="H176" s="8">
        <v>431</v>
      </c>
      <c r="I176" s="4" t="str">
        <f>VLOOKUP(H176,[1]policlin!B:C,2,1)</f>
        <v>POLI. METROPOLITANO HUANCAYO</v>
      </c>
      <c r="J176" s="7">
        <v>7647579</v>
      </c>
      <c r="K176" s="7" t="s">
        <v>8</v>
      </c>
    </row>
    <row r="177" spans="1:11" x14ac:dyDescent="0.2">
      <c r="A177" s="4">
        <f t="shared" si="2"/>
        <v>176</v>
      </c>
      <c r="B177" s="4"/>
      <c r="C177" s="4"/>
      <c r="D177" s="13"/>
      <c r="E177" s="6" t="s">
        <v>402</v>
      </c>
      <c r="F177" s="10" t="s">
        <v>191</v>
      </c>
      <c r="G177" s="7">
        <v>82</v>
      </c>
      <c r="H177" s="8">
        <v>494</v>
      </c>
      <c r="I177" s="4" t="str">
        <f>VLOOKUP(H177,[1]policlin!B:C,2,1)</f>
        <v>CAP III MANTARO</v>
      </c>
      <c r="J177" s="7">
        <v>19995355</v>
      </c>
      <c r="K177" s="7" t="s">
        <v>8</v>
      </c>
    </row>
    <row r="178" spans="1:11" x14ac:dyDescent="0.2">
      <c r="A178" s="4">
        <f t="shared" si="2"/>
        <v>177</v>
      </c>
      <c r="B178" s="4"/>
      <c r="C178" s="4"/>
      <c r="D178" s="13"/>
      <c r="E178" s="6" t="s">
        <v>401</v>
      </c>
      <c r="F178" s="6" t="s">
        <v>192</v>
      </c>
      <c r="G178" s="7">
        <v>81</v>
      </c>
      <c r="H178" s="8">
        <v>312</v>
      </c>
      <c r="I178" s="4" t="str">
        <f>VLOOKUP(H178,[1]policlin!B:C,2,1)</f>
        <v>C. M. CONCEPCION</v>
      </c>
      <c r="J178" s="7">
        <v>20402374</v>
      </c>
      <c r="K178" s="7" t="s">
        <v>8</v>
      </c>
    </row>
    <row r="179" spans="1:11" x14ac:dyDescent="0.2">
      <c r="A179" s="4">
        <f t="shared" si="2"/>
        <v>178</v>
      </c>
      <c r="B179" s="4"/>
      <c r="C179" s="4"/>
      <c r="D179" s="17">
        <v>46062</v>
      </c>
      <c r="E179" s="6"/>
      <c r="F179" s="6" t="s">
        <v>193</v>
      </c>
      <c r="G179" s="7">
        <v>63</v>
      </c>
      <c r="H179" s="8">
        <v>454</v>
      </c>
      <c r="I179" s="4" t="str">
        <f>VLOOKUP(H179,[1]policlin!B:C,2,1)</f>
        <v>CAP II CHILCA</v>
      </c>
      <c r="J179" s="7">
        <v>6215260</v>
      </c>
      <c r="K179" s="7" t="s">
        <v>8</v>
      </c>
    </row>
    <row r="180" spans="1:11" x14ac:dyDescent="0.2">
      <c r="A180" s="4">
        <f t="shared" si="2"/>
        <v>179</v>
      </c>
      <c r="B180" s="4"/>
      <c r="C180" s="4"/>
      <c r="D180" s="13"/>
      <c r="E180" s="6" t="s">
        <v>408</v>
      </c>
      <c r="F180" s="6" t="s">
        <v>194</v>
      </c>
      <c r="G180" s="7">
        <v>68</v>
      </c>
      <c r="H180" s="8">
        <v>312</v>
      </c>
      <c r="I180" s="4" t="str">
        <f>VLOOKUP(H180,[1]policlin!B:C,2,1)</f>
        <v>C. M. CONCEPCION</v>
      </c>
      <c r="J180" s="7">
        <v>20404697</v>
      </c>
      <c r="K180" s="7" t="s">
        <v>8</v>
      </c>
    </row>
    <row r="181" spans="1:11" x14ac:dyDescent="0.2">
      <c r="A181" s="4">
        <f t="shared" si="2"/>
        <v>180</v>
      </c>
      <c r="B181" s="4"/>
      <c r="C181" s="5" t="s">
        <v>195</v>
      </c>
      <c r="D181" s="13"/>
      <c r="E181" s="6"/>
      <c r="F181" s="6" t="s">
        <v>196</v>
      </c>
      <c r="G181" s="7">
        <v>69</v>
      </c>
      <c r="H181" s="8">
        <v>431</v>
      </c>
      <c r="I181" s="4" t="str">
        <f>VLOOKUP(H181,[1]policlin!B:C,2,1)</f>
        <v>POLI. METROPOLITANO HUANCAYO</v>
      </c>
      <c r="J181" s="7">
        <v>19832373</v>
      </c>
      <c r="K181" s="7" t="s">
        <v>8</v>
      </c>
    </row>
    <row r="182" spans="1:11" x14ac:dyDescent="0.2">
      <c r="A182" s="4">
        <f t="shared" si="2"/>
        <v>181</v>
      </c>
      <c r="B182" s="4"/>
      <c r="C182" s="4"/>
      <c r="D182" s="17">
        <v>46070</v>
      </c>
      <c r="E182" s="6"/>
      <c r="F182" s="6" t="s">
        <v>197</v>
      </c>
      <c r="G182" s="7">
        <v>76</v>
      </c>
      <c r="H182" s="8">
        <v>494</v>
      </c>
      <c r="I182" s="4" t="str">
        <f>VLOOKUP(H182,[1]policlin!B:C,2,1)</f>
        <v>CAP III MANTARO</v>
      </c>
      <c r="J182" s="7">
        <v>19902834</v>
      </c>
      <c r="K182" s="7" t="s">
        <v>8</v>
      </c>
    </row>
    <row r="183" spans="1:11" x14ac:dyDescent="0.2">
      <c r="A183" s="4">
        <f t="shared" si="2"/>
        <v>182</v>
      </c>
      <c r="B183" s="4"/>
      <c r="C183" s="4"/>
      <c r="D183" s="13"/>
      <c r="E183" s="6" t="s">
        <v>402</v>
      </c>
      <c r="F183" s="6" t="s">
        <v>198</v>
      </c>
      <c r="G183" s="7">
        <v>84</v>
      </c>
      <c r="H183" s="8">
        <v>494</v>
      </c>
      <c r="I183" s="4" t="str">
        <f>VLOOKUP(H183,[1]policlin!B:C,2,1)</f>
        <v>CAP III MANTARO</v>
      </c>
      <c r="J183" s="7">
        <v>20000565</v>
      </c>
      <c r="K183" s="7" t="s">
        <v>8</v>
      </c>
    </row>
    <row r="184" spans="1:11" x14ac:dyDescent="0.2">
      <c r="A184" s="4">
        <f t="shared" si="2"/>
        <v>183</v>
      </c>
      <c r="B184" s="4"/>
      <c r="C184" s="4"/>
      <c r="D184" s="17">
        <v>46062</v>
      </c>
      <c r="E184" s="6"/>
      <c r="F184" s="6" t="s">
        <v>199</v>
      </c>
      <c r="G184" s="7">
        <v>81</v>
      </c>
      <c r="H184" s="8">
        <v>310</v>
      </c>
      <c r="I184" s="4" t="str">
        <f>VLOOKUP(H184,[1]policlin!B:C,2,1)</f>
        <v>HOSP. I TARMA</v>
      </c>
      <c r="J184" s="7">
        <v>4048252</v>
      </c>
      <c r="K184" s="7" t="s">
        <v>8</v>
      </c>
    </row>
    <row r="185" spans="1:11" x14ac:dyDescent="0.2">
      <c r="A185" s="4">
        <f t="shared" si="2"/>
        <v>184</v>
      </c>
      <c r="B185" s="4"/>
      <c r="C185" s="4"/>
      <c r="D185" s="17">
        <v>46069</v>
      </c>
      <c r="E185" s="6"/>
      <c r="F185" s="6" t="s">
        <v>200</v>
      </c>
      <c r="G185" s="7">
        <v>82</v>
      </c>
      <c r="H185" s="8">
        <v>494</v>
      </c>
      <c r="I185" s="4" t="str">
        <f>VLOOKUP(H185,[1]policlin!B:C,2,1)</f>
        <v>CAP III MANTARO</v>
      </c>
      <c r="J185" s="7">
        <v>19809241</v>
      </c>
      <c r="K185" s="7" t="s">
        <v>8</v>
      </c>
    </row>
    <row r="186" spans="1:11" x14ac:dyDescent="0.2">
      <c r="A186" s="4">
        <f t="shared" si="2"/>
        <v>185</v>
      </c>
      <c r="B186" s="4"/>
      <c r="C186" s="4"/>
      <c r="D186" s="13"/>
      <c r="E186" s="6" t="s">
        <v>399</v>
      </c>
      <c r="F186" s="6" t="s">
        <v>201</v>
      </c>
      <c r="G186" s="7">
        <v>60</v>
      </c>
      <c r="H186" s="8">
        <v>494</v>
      </c>
      <c r="I186" s="4" t="str">
        <f>VLOOKUP(H186,[1]policlin!B:C,2,1)</f>
        <v>CAP III MANTARO</v>
      </c>
      <c r="J186" s="7">
        <v>19824152</v>
      </c>
      <c r="K186" s="7" t="s">
        <v>8</v>
      </c>
    </row>
    <row r="187" spans="1:11" x14ac:dyDescent="0.2">
      <c r="A187" s="4">
        <f t="shared" si="2"/>
        <v>186</v>
      </c>
      <c r="B187" s="4"/>
      <c r="C187" s="4"/>
      <c r="D187" s="13"/>
      <c r="E187" s="6" t="s">
        <v>400</v>
      </c>
      <c r="F187" s="6" t="s">
        <v>202</v>
      </c>
      <c r="G187" s="7">
        <v>75</v>
      </c>
      <c r="H187" s="8">
        <v>454</v>
      </c>
      <c r="I187" s="4" t="str">
        <f>VLOOKUP(H187,[1]policlin!B:C,2,1)</f>
        <v>CAP II CHILCA</v>
      </c>
      <c r="J187" s="7">
        <v>19887983</v>
      </c>
      <c r="K187" s="7" t="s">
        <v>8</v>
      </c>
    </row>
    <row r="188" spans="1:11" x14ac:dyDescent="0.2">
      <c r="A188" s="4">
        <f t="shared" si="2"/>
        <v>187</v>
      </c>
      <c r="B188" s="4"/>
      <c r="C188" s="4"/>
      <c r="D188" s="17">
        <v>46064</v>
      </c>
      <c r="E188" s="6"/>
      <c r="F188" s="6" t="s">
        <v>203</v>
      </c>
      <c r="G188" s="7">
        <v>66</v>
      </c>
      <c r="H188" s="8">
        <v>494</v>
      </c>
      <c r="I188" s="4" t="str">
        <f>VLOOKUP(H188,[1]policlin!B:C,2,1)</f>
        <v>CAP III MANTARO</v>
      </c>
      <c r="J188" s="7">
        <v>19828244</v>
      </c>
      <c r="K188" s="7" t="s">
        <v>8</v>
      </c>
    </row>
    <row r="189" spans="1:11" x14ac:dyDescent="0.2">
      <c r="A189" s="4">
        <f t="shared" si="2"/>
        <v>188</v>
      </c>
      <c r="B189" s="4"/>
      <c r="C189" s="4"/>
      <c r="D189" s="13"/>
      <c r="E189" s="6" t="s">
        <v>403</v>
      </c>
      <c r="F189" s="6" t="s">
        <v>204</v>
      </c>
      <c r="G189" s="7">
        <v>80</v>
      </c>
      <c r="H189" s="8">
        <v>454</v>
      </c>
      <c r="I189" s="4" t="str">
        <f>VLOOKUP(H189,[1]policlin!B:C,2,1)</f>
        <v>CAP II CHILCA</v>
      </c>
      <c r="J189" s="7">
        <v>19808126</v>
      </c>
      <c r="K189" s="7" t="s">
        <v>8</v>
      </c>
    </row>
    <row r="190" spans="1:11" x14ac:dyDescent="0.2">
      <c r="A190" s="4">
        <f t="shared" si="2"/>
        <v>189</v>
      </c>
      <c r="B190" s="4"/>
      <c r="C190" s="4"/>
      <c r="D190" s="13"/>
      <c r="E190" s="6" t="s">
        <v>402</v>
      </c>
      <c r="F190" s="6" t="s">
        <v>205</v>
      </c>
      <c r="G190" s="7">
        <v>87</v>
      </c>
      <c r="H190" s="8">
        <v>494</v>
      </c>
      <c r="I190" s="4" t="str">
        <f>VLOOKUP(H190,[1]policlin!B:C,2,1)</f>
        <v>CAP III MANTARO</v>
      </c>
      <c r="J190" s="7">
        <v>19929245</v>
      </c>
      <c r="K190" s="7" t="s">
        <v>8</v>
      </c>
    </row>
    <row r="191" spans="1:11" x14ac:dyDescent="0.2">
      <c r="A191" s="4">
        <f t="shared" si="2"/>
        <v>190</v>
      </c>
      <c r="B191" s="4"/>
      <c r="C191" s="4"/>
      <c r="D191" s="13"/>
      <c r="E191" s="6" t="s">
        <v>406</v>
      </c>
      <c r="F191" s="6" t="s">
        <v>206</v>
      </c>
      <c r="G191" s="7">
        <v>60</v>
      </c>
      <c r="H191" s="8">
        <v>494</v>
      </c>
      <c r="I191" s="4" t="str">
        <f>VLOOKUP(H191,[1]policlin!B:C,2,1)</f>
        <v>CAP III MANTARO</v>
      </c>
      <c r="J191" s="7">
        <v>19841747</v>
      </c>
      <c r="K191" s="7" t="s">
        <v>8</v>
      </c>
    </row>
    <row r="192" spans="1:11" x14ac:dyDescent="0.2">
      <c r="A192" s="4">
        <f t="shared" si="2"/>
        <v>191</v>
      </c>
      <c r="B192" s="4"/>
      <c r="C192" s="4"/>
      <c r="D192" s="13"/>
      <c r="E192" s="6" t="s">
        <v>397</v>
      </c>
      <c r="F192" s="6" t="s">
        <v>207</v>
      </c>
      <c r="G192" s="7">
        <v>59</v>
      </c>
      <c r="H192" s="8">
        <v>494</v>
      </c>
      <c r="I192" s="4" t="str">
        <f>VLOOKUP(H192,[1]policlin!B:C,2,1)</f>
        <v>CAP III MANTARO</v>
      </c>
      <c r="J192" s="7">
        <v>19846687</v>
      </c>
      <c r="K192" s="7" t="s">
        <v>8</v>
      </c>
    </row>
    <row r="193" spans="1:11" x14ac:dyDescent="0.2">
      <c r="A193" s="4">
        <f t="shared" si="2"/>
        <v>192</v>
      </c>
      <c r="B193" s="4"/>
      <c r="C193" s="5">
        <v>46094</v>
      </c>
      <c r="D193" s="13"/>
      <c r="E193" s="6"/>
      <c r="F193" s="6" t="s">
        <v>208</v>
      </c>
      <c r="G193" s="7">
        <v>72</v>
      </c>
      <c r="H193" s="8">
        <v>431</v>
      </c>
      <c r="I193" s="4" t="str">
        <f>VLOOKUP(H193,[1]policlin!B:C,2,1)</f>
        <v>POLI. METROPOLITANO HUANCAYO</v>
      </c>
      <c r="J193" s="7">
        <v>19991749</v>
      </c>
      <c r="K193" s="7" t="s">
        <v>8</v>
      </c>
    </row>
    <row r="194" spans="1:11" x14ac:dyDescent="0.2">
      <c r="A194" s="4">
        <f t="shared" si="2"/>
        <v>193</v>
      </c>
      <c r="B194" s="4"/>
      <c r="C194" s="5">
        <v>46083</v>
      </c>
      <c r="D194" s="13"/>
      <c r="E194" s="6"/>
      <c r="F194" s="6" t="s">
        <v>209</v>
      </c>
      <c r="G194" s="7">
        <v>67</v>
      </c>
      <c r="H194" s="8">
        <v>312</v>
      </c>
      <c r="I194" s="4" t="str">
        <f>VLOOKUP(H194,[1]policlin!B:C,2,1)</f>
        <v>C. M. CONCEPCION</v>
      </c>
      <c r="J194" s="7">
        <v>19948142</v>
      </c>
      <c r="K194" s="7" t="s">
        <v>8</v>
      </c>
    </row>
    <row r="195" spans="1:11" x14ac:dyDescent="0.2">
      <c r="A195" s="4">
        <f t="shared" si="2"/>
        <v>194</v>
      </c>
      <c r="B195" s="4"/>
      <c r="C195" s="5">
        <v>46097</v>
      </c>
      <c r="D195" s="13"/>
      <c r="E195" s="6"/>
      <c r="F195" s="6" t="s">
        <v>210</v>
      </c>
      <c r="G195" s="7">
        <v>59</v>
      </c>
      <c r="H195" s="8">
        <v>454</v>
      </c>
      <c r="I195" s="4" t="str">
        <f>VLOOKUP(H195,[1]policlin!B:C,2,1)</f>
        <v>CAP II CHILCA</v>
      </c>
      <c r="J195" s="7">
        <v>19979023</v>
      </c>
      <c r="K195" s="7" t="s">
        <v>8</v>
      </c>
    </row>
    <row r="196" spans="1:11" x14ac:dyDescent="0.2">
      <c r="A196" s="4">
        <f t="shared" ref="A196:A259" si="3">SUM(1+A195)</f>
        <v>195</v>
      </c>
      <c r="B196" s="4"/>
      <c r="C196" s="5">
        <v>46111</v>
      </c>
      <c r="D196" s="13"/>
      <c r="E196" s="6"/>
      <c r="F196" s="6" t="s">
        <v>211</v>
      </c>
      <c r="G196" s="7">
        <v>82</v>
      </c>
      <c r="H196" s="8">
        <v>431</v>
      </c>
      <c r="I196" s="4" t="str">
        <f>VLOOKUP(H196,[1]policlin!B:C,2,1)</f>
        <v>POLI. METROPOLITANO HUANCAYO</v>
      </c>
      <c r="J196" s="7">
        <v>9026453</v>
      </c>
      <c r="K196" s="7" t="s">
        <v>8</v>
      </c>
    </row>
    <row r="197" spans="1:11" x14ac:dyDescent="0.2">
      <c r="A197" s="4">
        <f t="shared" si="3"/>
        <v>196</v>
      </c>
      <c r="B197" s="4"/>
      <c r="C197" s="4"/>
      <c r="D197" s="13"/>
      <c r="E197" s="6" t="s">
        <v>404</v>
      </c>
      <c r="F197" s="6" t="s">
        <v>212</v>
      </c>
      <c r="G197" s="7">
        <v>62</v>
      </c>
      <c r="H197" s="8">
        <v>431</v>
      </c>
      <c r="I197" s="4" t="str">
        <f>VLOOKUP(H197,[1]policlin!B:C,2,1)</f>
        <v>POLI. METROPOLITANO HUANCAYO</v>
      </c>
      <c r="J197" s="7">
        <v>19962196</v>
      </c>
      <c r="K197" s="7" t="s">
        <v>8</v>
      </c>
    </row>
    <row r="198" spans="1:11" x14ac:dyDescent="0.2">
      <c r="A198" s="4">
        <f t="shared" si="3"/>
        <v>197</v>
      </c>
      <c r="B198" s="4"/>
      <c r="C198" s="4"/>
      <c r="D198" s="13"/>
      <c r="E198" s="6" t="s">
        <v>402</v>
      </c>
      <c r="F198" s="6" t="s">
        <v>213</v>
      </c>
      <c r="G198" s="7">
        <v>78</v>
      </c>
      <c r="H198" s="8">
        <v>454</v>
      </c>
      <c r="I198" s="4" t="str">
        <f>VLOOKUP(H198,[1]policlin!B:C,2,1)</f>
        <v>CAP II CHILCA</v>
      </c>
      <c r="J198" s="7">
        <v>23679192</v>
      </c>
      <c r="K198" s="7" t="s">
        <v>8</v>
      </c>
    </row>
    <row r="199" spans="1:11" x14ac:dyDescent="0.2">
      <c r="A199" s="4">
        <f t="shared" si="3"/>
        <v>198</v>
      </c>
      <c r="B199" s="4"/>
      <c r="C199" s="4"/>
      <c r="D199" s="13"/>
      <c r="E199" s="6" t="s">
        <v>408</v>
      </c>
      <c r="F199" s="6" t="s">
        <v>214</v>
      </c>
      <c r="G199" s="7">
        <v>85</v>
      </c>
      <c r="H199" s="8">
        <v>431</v>
      </c>
      <c r="I199" s="4" t="str">
        <f>VLOOKUP(H199,[1]policlin!B:C,2,1)</f>
        <v>POLI. METROPOLITANO HUANCAYO</v>
      </c>
      <c r="J199" s="7">
        <v>20027734</v>
      </c>
      <c r="K199" s="7" t="s">
        <v>8</v>
      </c>
    </row>
    <row r="200" spans="1:11" x14ac:dyDescent="0.2">
      <c r="A200" s="4">
        <f t="shared" si="3"/>
        <v>199</v>
      </c>
      <c r="B200" s="4"/>
      <c r="C200" s="4"/>
      <c r="D200" s="13"/>
      <c r="E200" s="6" t="s">
        <v>404</v>
      </c>
      <c r="F200" s="6" t="s">
        <v>215</v>
      </c>
      <c r="G200" s="7">
        <v>75</v>
      </c>
      <c r="H200" s="8">
        <v>494</v>
      </c>
      <c r="I200" s="4" t="str">
        <f>VLOOKUP(H200,[1]policlin!B:C,2,1)</f>
        <v>CAP III MANTARO</v>
      </c>
      <c r="J200" s="7">
        <v>19821448</v>
      </c>
      <c r="K200" s="7" t="s">
        <v>8</v>
      </c>
    </row>
    <row r="201" spans="1:11" x14ac:dyDescent="0.2">
      <c r="A201" s="4">
        <f t="shared" si="3"/>
        <v>200</v>
      </c>
      <c r="B201" s="4"/>
      <c r="C201" s="5">
        <v>46108</v>
      </c>
      <c r="D201" s="13"/>
      <c r="E201" s="6"/>
      <c r="F201" s="6" t="s">
        <v>216</v>
      </c>
      <c r="G201" s="7">
        <v>59</v>
      </c>
      <c r="H201" s="8">
        <v>348</v>
      </c>
      <c r="I201" s="4" t="str">
        <f>VLOOKUP(H201,[1]policlin!B:C,2,1)</f>
        <v>C. M. PAMPAS-TAYACAJA</v>
      </c>
      <c r="J201" s="7">
        <v>19832448</v>
      </c>
      <c r="K201" s="7" t="s">
        <v>8</v>
      </c>
    </row>
    <row r="202" spans="1:11" x14ac:dyDescent="0.2">
      <c r="A202" s="4">
        <f t="shared" si="3"/>
        <v>201</v>
      </c>
      <c r="B202" s="4"/>
      <c r="C202" s="5">
        <v>46106</v>
      </c>
      <c r="D202" s="13"/>
      <c r="E202" s="9">
        <v>46037</v>
      </c>
      <c r="F202" s="6" t="s">
        <v>217</v>
      </c>
      <c r="G202" s="7">
        <v>88</v>
      </c>
      <c r="H202" s="8">
        <v>494</v>
      </c>
      <c r="I202" s="4" t="str">
        <f>VLOOKUP(H202,[1]policlin!B:C,2,1)</f>
        <v>CAP III MANTARO</v>
      </c>
      <c r="J202" s="7">
        <v>19811014</v>
      </c>
      <c r="K202" s="7" t="s">
        <v>8</v>
      </c>
    </row>
    <row r="203" spans="1:11" x14ac:dyDescent="0.2">
      <c r="A203" s="4">
        <f t="shared" si="3"/>
        <v>202</v>
      </c>
      <c r="B203" s="4"/>
      <c r="C203" s="4"/>
      <c r="D203" s="13"/>
      <c r="E203" s="9">
        <v>46053</v>
      </c>
      <c r="F203" s="6" t="s">
        <v>218</v>
      </c>
      <c r="G203" s="7">
        <v>91</v>
      </c>
      <c r="H203" s="8">
        <v>308</v>
      </c>
      <c r="I203" s="4" t="str">
        <f>VLOOKUP(H203,[1]policlin!B:C,2,1)</f>
        <v>HOSP. II LA OROYA</v>
      </c>
      <c r="J203" s="7">
        <v>21242367</v>
      </c>
      <c r="K203" s="7" t="s">
        <v>8</v>
      </c>
    </row>
    <row r="204" spans="1:11" x14ac:dyDescent="0.2">
      <c r="A204" s="4">
        <f t="shared" si="3"/>
        <v>203</v>
      </c>
      <c r="B204" s="4"/>
      <c r="C204" s="4"/>
      <c r="D204" s="13"/>
      <c r="E204" s="6" t="s">
        <v>408</v>
      </c>
      <c r="F204" s="6" t="s">
        <v>219</v>
      </c>
      <c r="G204" s="7">
        <v>48</v>
      </c>
      <c r="H204" s="8">
        <v>454</v>
      </c>
      <c r="I204" s="4" t="str">
        <f>VLOOKUP(H204,[1]policlin!B:C,2,1)</f>
        <v>CAP II CHILCA</v>
      </c>
      <c r="J204" s="7">
        <v>40924136</v>
      </c>
      <c r="K204" s="7" t="s">
        <v>8</v>
      </c>
    </row>
    <row r="205" spans="1:11" x14ac:dyDescent="0.2">
      <c r="A205" s="4">
        <f t="shared" si="3"/>
        <v>204</v>
      </c>
      <c r="B205" s="4"/>
      <c r="C205" s="4"/>
      <c r="D205" s="13"/>
      <c r="E205" s="6" t="s">
        <v>406</v>
      </c>
      <c r="F205" s="6" t="s">
        <v>220</v>
      </c>
      <c r="G205" s="7">
        <v>37</v>
      </c>
      <c r="H205" s="8">
        <v>431</v>
      </c>
      <c r="I205" s="4" t="str">
        <f>VLOOKUP(H205,[1]policlin!B:C,2,1)</f>
        <v>POLI. METROPOLITANO HUANCAYO</v>
      </c>
      <c r="J205" s="7">
        <v>44685658</v>
      </c>
      <c r="K205" s="7" t="s">
        <v>8</v>
      </c>
    </row>
    <row r="206" spans="1:11" x14ac:dyDescent="0.2">
      <c r="A206" s="4">
        <f t="shared" si="3"/>
        <v>205</v>
      </c>
      <c r="B206" s="4"/>
      <c r="C206" s="5">
        <v>46098</v>
      </c>
      <c r="D206" s="13"/>
      <c r="E206" s="9">
        <v>46048</v>
      </c>
      <c r="F206" s="6" t="s">
        <v>221</v>
      </c>
      <c r="G206" s="7">
        <v>83</v>
      </c>
      <c r="H206" s="8">
        <v>312</v>
      </c>
      <c r="I206" s="4" t="str">
        <f>VLOOKUP(H206,[1]policlin!B:C,2,1)</f>
        <v>C. M. CONCEPCION</v>
      </c>
      <c r="J206" s="7">
        <v>20690971</v>
      </c>
      <c r="K206" s="7" t="s">
        <v>8</v>
      </c>
    </row>
    <row r="207" spans="1:11" x14ac:dyDescent="0.2">
      <c r="A207" s="4">
        <f t="shared" si="3"/>
        <v>206</v>
      </c>
      <c r="B207" s="4"/>
      <c r="C207" s="5">
        <v>46097</v>
      </c>
      <c r="D207" s="13"/>
      <c r="E207" s="6"/>
      <c r="F207" s="6" t="s">
        <v>222</v>
      </c>
      <c r="G207" s="7">
        <v>59</v>
      </c>
      <c r="H207" s="8">
        <v>431</v>
      </c>
      <c r="I207" s="4" t="str">
        <f>VLOOKUP(H207,[1]policlin!B:C,2,1)</f>
        <v>POLI. METROPOLITANO HUANCAYO</v>
      </c>
      <c r="J207" s="7">
        <v>23241065</v>
      </c>
      <c r="K207" s="15" t="s">
        <v>90</v>
      </c>
    </row>
    <row r="208" spans="1:11" x14ac:dyDescent="0.2">
      <c r="A208" s="4">
        <f t="shared" si="3"/>
        <v>207</v>
      </c>
      <c r="B208" s="4"/>
      <c r="C208" s="4"/>
      <c r="D208" s="13"/>
      <c r="E208" s="6" t="s">
        <v>397</v>
      </c>
      <c r="F208" s="6" t="s">
        <v>223</v>
      </c>
      <c r="G208" s="7">
        <v>76</v>
      </c>
      <c r="H208" s="8">
        <v>431</v>
      </c>
      <c r="I208" s="4" t="str">
        <f>VLOOKUP(H208,[1]policlin!B:C,2,1)</f>
        <v>POLI. METROPOLITANO HUANCAYO</v>
      </c>
      <c r="J208" s="7">
        <v>19931473</v>
      </c>
      <c r="K208" s="7" t="s">
        <v>8</v>
      </c>
    </row>
    <row r="209" spans="1:11" x14ac:dyDescent="0.2">
      <c r="A209" s="4">
        <f t="shared" si="3"/>
        <v>208</v>
      </c>
      <c r="B209" s="4"/>
      <c r="C209" s="4"/>
      <c r="D209" s="13"/>
      <c r="E209" s="6"/>
      <c r="F209" s="6" t="s">
        <v>224</v>
      </c>
      <c r="G209" s="7">
        <v>70</v>
      </c>
      <c r="H209" s="8">
        <v>431</v>
      </c>
      <c r="I209" s="4" t="str">
        <f>VLOOKUP(H209,[1]policlin!B:C,2,1)</f>
        <v>POLI. METROPOLITANO HUANCAYO</v>
      </c>
      <c r="J209" s="7">
        <v>20522334</v>
      </c>
      <c r="K209" s="7" t="s">
        <v>8</v>
      </c>
    </row>
    <row r="210" spans="1:11" x14ac:dyDescent="0.2">
      <c r="A210" s="4">
        <f t="shared" si="3"/>
        <v>209</v>
      </c>
      <c r="B210" s="4"/>
      <c r="C210" s="4"/>
      <c r="D210" s="13"/>
      <c r="E210" s="6"/>
      <c r="F210" s="6" t="s">
        <v>225</v>
      </c>
      <c r="G210" s="7">
        <v>87</v>
      </c>
      <c r="H210" s="8">
        <v>431</v>
      </c>
      <c r="I210" s="4" t="str">
        <f>VLOOKUP(H210,[1]policlin!B:C,2,1)</f>
        <v>POLI. METROPOLITANO HUANCAYO</v>
      </c>
      <c r="J210" s="7">
        <v>19838690</v>
      </c>
      <c r="K210" s="7" t="s">
        <v>8</v>
      </c>
    </row>
    <row r="211" spans="1:11" x14ac:dyDescent="0.2">
      <c r="A211" s="4">
        <f t="shared" si="3"/>
        <v>210</v>
      </c>
      <c r="B211" s="4"/>
      <c r="C211" s="4"/>
      <c r="D211" s="13"/>
      <c r="E211" s="6"/>
      <c r="F211" s="6" t="s">
        <v>226</v>
      </c>
      <c r="G211" s="7">
        <v>79</v>
      </c>
      <c r="H211" s="8">
        <v>431</v>
      </c>
      <c r="I211" s="4" t="str">
        <f>VLOOKUP(H211,[1]policlin!B:C,2,1)</f>
        <v>POLI. METROPOLITANO HUANCAYO</v>
      </c>
      <c r="J211" s="7">
        <v>20430979</v>
      </c>
      <c r="K211" s="7" t="s">
        <v>8</v>
      </c>
    </row>
    <row r="212" spans="1:11" x14ac:dyDescent="0.2">
      <c r="A212" s="4">
        <f t="shared" si="3"/>
        <v>211</v>
      </c>
      <c r="B212" s="4"/>
      <c r="C212" s="4"/>
      <c r="D212" s="13"/>
      <c r="E212" s="6"/>
      <c r="F212" s="6" t="s">
        <v>227</v>
      </c>
      <c r="G212" s="7">
        <v>79</v>
      </c>
      <c r="H212" s="8">
        <v>431</v>
      </c>
      <c r="I212" s="4" t="str">
        <f>VLOOKUP(H212,[1]policlin!B:C,2,1)</f>
        <v>POLI. METROPOLITANO HUANCAYO</v>
      </c>
      <c r="J212" s="7">
        <v>21251548</v>
      </c>
      <c r="K212" s="7" t="s">
        <v>8</v>
      </c>
    </row>
    <row r="213" spans="1:11" x14ac:dyDescent="0.2">
      <c r="A213" s="4">
        <f t="shared" si="3"/>
        <v>212</v>
      </c>
      <c r="B213" s="4"/>
      <c r="C213" s="4"/>
      <c r="D213" s="13"/>
      <c r="E213" s="6"/>
      <c r="F213" s="6" t="s">
        <v>228</v>
      </c>
      <c r="G213" s="7">
        <v>70</v>
      </c>
      <c r="H213" s="8">
        <v>431</v>
      </c>
      <c r="I213" s="4" t="str">
        <f>VLOOKUP(H213,[1]policlin!B:C,2,1)</f>
        <v>POLI. METROPOLITANO HUANCAYO</v>
      </c>
      <c r="J213" s="7">
        <v>19930050</v>
      </c>
      <c r="K213" s="7" t="s">
        <v>8</v>
      </c>
    </row>
    <row r="214" spans="1:11" x14ac:dyDescent="0.2">
      <c r="A214" s="4">
        <f t="shared" si="3"/>
        <v>213</v>
      </c>
      <c r="B214" s="4"/>
      <c r="C214" s="4"/>
      <c r="D214" s="13"/>
      <c r="E214" s="6"/>
      <c r="F214" s="6" t="s">
        <v>229</v>
      </c>
      <c r="G214" s="7">
        <v>58</v>
      </c>
      <c r="H214" s="8">
        <v>431</v>
      </c>
      <c r="I214" s="4" t="str">
        <f>VLOOKUP(H214,[1]policlin!B:C,2,1)</f>
        <v>POLI. METROPOLITANO HUANCAYO</v>
      </c>
      <c r="J214" s="7">
        <v>20084837</v>
      </c>
      <c r="K214" s="7" t="s">
        <v>8</v>
      </c>
    </row>
    <row r="215" spans="1:11" x14ac:dyDescent="0.2">
      <c r="A215" s="4">
        <f t="shared" si="3"/>
        <v>214</v>
      </c>
      <c r="B215" s="4"/>
      <c r="C215" s="4"/>
      <c r="D215" s="13"/>
      <c r="E215" s="6"/>
      <c r="F215" s="6" t="s">
        <v>230</v>
      </c>
      <c r="G215" s="7">
        <v>86</v>
      </c>
      <c r="H215" s="8">
        <v>431</v>
      </c>
      <c r="I215" s="4" t="str">
        <f>VLOOKUP(H215,[1]policlin!B:C,2,1)</f>
        <v>POLI. METROPOLITANO HUANCAYO</v>
      </c>
      <c r="J215" s="7">
        <v>19920771</v>
      </c>
      <c r="K215" s="7" t="s">
        <v>8</v>
      </c>
    </row>
    <row r="216" spans="1:11" x14ac:dyDescent="0.2">
      <c r="A216" s="4">
        <f t="shared" si="3"/>
        <v>215</v>
      </c>
      <c r="B216" s="4"/>
      <c r="C216" s="4"/>
      <c r="D216" s="13"/>
      <c r="E216" s="6"/>
      <c r="F216" s="6" t="s">
        <v>231</v>
      </c>
      <c r="G216" s="7">
        <v>70</v>
      </c>
      <c r="H216" s="8">
        <v>313</v>
      </c>
      <c r="I216" s="4" t="str">
        <f>VLOOKUP(H216,[1]policlin!B:C,2,1)</f>
        <v>HOSP.SELVA CENTRAL -LA MERCED</v>
      </c>
      <c r="J216" s="7">
        <v>20558110</v>
      </c>
      <c r="K216" s="7" t="s">
        <v>8</v>
      </c>
    </row>
    <row r="217" spans="1:11" x14ac:dyDescent="0.2">
      <c r="A217" s="4">
        <f t="shared" si="3"/>
        <v>216</v>
      </c>
      <c r="B217" s="4"/>
      <c r="C217" s="4"/>
      <c r="D217" s="13"/>
      <c r="E217" s="6"/>
      <c r="F217" s="6" t="s">
        <v>232</v>
      </c>
      <c r="G217" s="7">
        <v>73</v>
      </c>
      <c r="H217" s="8">
        <v>431</v>
      </c>
      <c r="I217" s="4" t="str">
        <f>VLOOKUP(H217,[1]policlin!B:C,2,1)</f>
        <v>POLI. METROPOLITANO HUANCAYO</v>
      </c>
      <c r="J217" s="7">
        <v>4008492</v>
      </c>
      <c r="K217" s="7" t="s">
        <v>8</v>
      </c>
    </row>
    <row r="218" spans="1:11" x14ac:dyDescent="0.2">
      <c r="A218" s="4">
        <f t="shared" si="3"/>
        <v>217</v>
      </c>
      <c r="B218" s="4"/>
      <c r="C218" s="4"/>
      <c r="D218" s="13"/>
      <c r="E218" s="6"/>
      <c r="F218" s="6" t="s">
        <v>233</v>
      </c>
      <c r="G218" s="7">
        <v>48</v>
      </c>
      <c r="H218" s="8">
        <v>504</v>
      </c>
      <c r="I218" s="4" t="str">
        <f>VLOOKUP(H218,[1]policlin!B:C,2,1)</f>
        <v>CAP II CHUPACA</v>
      </c>
      <c r="J218" s="7">
        <v>4084278</v>
      </c>
      <c r="K218" s="7" t="s">
        <v>8</v>
      </c>
    </row>
    <row r="219" spans="1:11" x14ac:dyDescent="0.2">
      <c r="A219" s="4">
        <f t="shared" si="3"/>
        <v>218</v>
      </c>
      <c r="B219" s="4"/>
      <c r="C219" s="4"/>
      <c r="D219" s="13"/>
      <c r="E219" s="6"/>
      <c r="F219" s="6" t="s">
        <v>234</v>
      </c>
      <c r="G219" s="7">
        <v>60</v>
      </c>
      <c r="H219" s="8">
        <v>504</v>
      </c>
      <c r="I219" s="4" t="str">
        <f>VLOOKUP(H219,[1]policlin!B:C,2,1)</f>
        <v>CAP II CHUPACA</v>
      </c>
      <c r="J219" s="7">
        <v>19905722</v>
      </c>
      <c r="K219" s="7" t="s">
        <v>8</v>
      </c>
    </row>
    <row r="220" spans="1:11" x14ac:dyDescent="0.2">
      <c r="A220" s="4">
        <f t="shared" si="3"/>
        <v>219</v>
      </c>
      <c r="B220" s="4"/>
      <c r="C220" s="4"/>
      <c r="D220" s="13"/>
      <c r="E220" s="6"/>
      <c r="F220" s="6" t="s">
        <v>235</v>
      </c>
      <c r="G220" s="7">
        <v>73</v>
      </c>
      <c r="H220" s="8">
        <v>431</v>
      </c>
      <c r="I220" s="4" t="str">
        <f>VLOOKUP(H220,[1]policlin!B:C,2,1)</f>
        <v>POLI. METROPOLITANO HUANCAYO</v>
      </c>
      <c r="J220" s="7">
        <v>20424316</v>
      </c>
      <c r="K220" s="7" t="s">
        <v>8</v>
      </c>
    </row>
    <row r="221" spans="1:11" x14ac:dyDescent="0.2">
      <c r="A221" s="4">
        <f t="shared" si="3"/>
        <v>220</v>
      </c>
      <c r="B221" s="4"/>
      <c r="C221" s="4"/>
      <c r="D221" s="13"/>
      <c r="E221" s="6"/>
      <c r="F221" s="6" t="s">
        <v>236</v>
      </c>
      <c r="G221" s="7">
        <v>77</v>
      </c>
      <c r="H221" s="8">
        <v>454</v>
      </c>
      <c r="I221" s="4" t="str">
        <f>VLOOKUP(H221,[1]policlin!B:C,2,1)</f>
        <v>CAP II CHILCA</v>
      </c>
      <c r="J221" s="7">
        <v>19883362</v>
      </c>
      <c r="K221" s="7" t="s">
        <v>8</v>
      </c>
    </row>
    <row r="222" spans="1:11" x14ac:dyDescent="0.2">
      <c r="A222" s="4">
        <f t="shared" si="3"/>
        <v>221</v>
      </c>
      <c r="B222" s="4"/>
      <c r="C222" s="4"/>
      <c r="D222" s="13"/>
      <c r="E222" s="6"/>
      <c r="F222" s="6" t="s">
        <v>237</v>
      </c>
      <c r="G222" s="7">
        <v>67</v>
      </c>
      <c r="H222" s="8">
        <v>454</v>
      </c>
      <c r="I222" s="4" t="str">
        <f>VLOOKUP(H222,[1]policlin!B:C,2,1)</f>
        <v>CAP II CHILCA</v>
      </c>
      <c r="J222" s="7">
        <v>16134985</v>
      </c>
      <c r="K222" s="7" t="s">
        <v>8</v>
      </c>
    </row>
    <row r="223" spans="1:11" x14ac:dyDescent="0.2">
      <c r="A223" s="4">
        <f t="shared" si="3"/>
        <v>222</v>
      </c>
      <c r="B223" s="4"/>
      <c r="C223" s="4"/>
      <c r="D223" s="13"/>
      <c r="E223" s="6"/>
      <c r="F223" s="6" t="s">
        <v>238</v>
      </c>
      <c r="G223" s="7">
        <v>82</v>
      </c>
      <c r="H223" s="8">
        <v>431</v>
      </c>
      <c r="I223" s="4" t="str">
        <f>VLOOKUP(H223,[1]policlin!B:C,2,1)</f>
        <v>POLI. METROPOLITANO HUANCAYO</v>
      </c>
      <c r="J223" s="7">
        <v>20882805</v>
      </c>
      <c r="K223" s="7" t="s">
        <v>8</v>
      </c>
    </row>
    <row r="224" spans="1:11" x14ac:dyDescent="0.2">
      <c r="A224" s="4">
        <f t="shared" si="3"/>
        <v>223</v>
      </c>
      <c r="B224" s="4"/>
      <c r="C224" s="4"/>
      <c r="D224" s="13"/>
      <c r="E224" s="6"/>
      <c r="F224" s="6" t="s">
        <v>239</v>
      </c>
      <c r="G224" s="7">
        <v>67</v>
      </c>
      <c r="H224" s="8">
        <v>494</v>
      </c>
      <c r="I224" s="4" t="str">
        <f>VLOOKUP(H224,[1]policlin!B:C,2,1)</f>
        <v>CAP III MANTARO</v>
      </c>
      <c r="J224" s="7">
        <v>23208622</v>
      </c>
      <c r="K224" s="7" t="s">
        <v>8</v>
      </c>
    </row>
    <row r="225" spans="1:11" x14ac:dyDescent="0.2">
      <c r="A225" s="4">
        <f t="shared" si="3"/>
        <v>224</v>
      </c>
      <c r="B225" s="4"/>
      <c r="C225" s="4"/>
      <c r="D225" s="13"/>
      <c r="E225" s="6"/>
      <c r="F225" s="6" t="s">
        <v>240</v>
      </c>
      <c r="G225" s="7">
        <v>82</v>
      </c>
      <c r="H225" s="8">
        <v>310</v>
      </c>
      <c r="I225" s="4" t="str">
        <f>VLOOKUP(H225,[1]policlin!B:C,2,1)</f>
        <v>HOSP. I TARMA</v>
      </c>
      <c r="J225" s="7">
        <v>21101838</v>
      </c>
      <c r="K225" s="7" t="s">
        <v>8</v>
      </c>
    </row>
    <row r="226" spans="1:11" x14ac:dyDescent="0.2">
      <c r="A226" s="4">
        <f t="shared" si="3"/>
        <v>225</v>
      </c>
      <c r="B226" s="4"/>
      <c r="C226" s="4"/>
      <c r="D226" s="13"/>
      <c r="E226" s="6"/>
      <c r="F226" s="6" t="s">
        <v>241</v>
      </c>
      <c r="G226" s="7">
        <v>80</v>
      </c>
      <c r="H226" s="8">
        <v>431</v>
      </c>
      <c r="I226" s="4" t="str">
        <f>VLOOKUP(H226,[1]policlin!B:C,2,1)</f>
        <v>POLI. METROPOLITANO HUANCAYO</v>
      </c>
      <c r="J226" s="7">
        <v>19833217</v>
      </c>
      <c r="K226" s="7" t="s">
        <v>8</v>
      </c>
    </row>
    <row r="227" spans="1:11" x14ac:dyDescent="0.2">
      <c r="A227" s="4">
        <f t="shared" si="3"/>
        <v>226</v>
      </c>
      <c r="B227" s="4"/>
      <c r="C227" s="4"/>
      <c r="D227" s="13"/>
      <c r="E227" s="6"/>
      <c r="F227" s="6" t="s">
        <v>242</v>
      </c>
      <c r="G227" s="7">
        <v>70</v>
      </c>
      <c r="H227" s="8">
        <v>342</v>
      </c>
      <c r="I227" s="4" t="str">
        <f>VLOOKUP(H227,[1]policlin!B:C,2,1)</f>
        <v>HOSP. II HUANCAVELICA</v>
      </c>
      <c r="J227" s="7">
        <v>23213543</v>
      </c>
      <c r="K227" s="7" t="s">
        <v>8</v>
      </c>
    </row>
    <row r="228" spans="1:11" x14ac:dyDescent="0.2">
      <c r="A228" s="4">
        <f t="shared" si="3"/>
        <v>227</v>
      </c>
      <c r="B228" s="4"/>
      <c r="C228" s="4"/>
      <c r="D228" s="13"/>
      <c r="E228" s="6"/>
      <c r="F228" s="6" t="s">
        <v>243</v>
      </c>
      <c r="G228" s="7">
        <v>69</v>
      </c>
      <c r="H228" s="8">
        <v>431</v>
      </c>
      <c r="I228" s="4" t="str">
        <f>VLOOKUP(H228,[1]policlin!B:C,2,1)</f>
        <v>POLI. METROPOLITANO HUANCAYO</v>
      </c>
      <c r="J228" s="7">
        <v>19861386</v>
      </c>
      <c r="K228" s="7" t="s">
        <v>8</v>
      </c>
    </row>
    <row r="229" spans="1:11" x14ac:dyDescent="0.2">
      <c r="A229" s="4">
        <f t="shared" si="3"/>
        <v>228</v>
      </c>
      <c r="B229" s="4"/>
      <c r="C229" s="4"/>
      <c r="D229" s="13"/>
      <c r="E229" s="6"/>
      <c r="F229" s="6" t="s">
        <v>244</v>
      </c>
      <c r="G229" s="7">
        <v>70</v>
      </c>
      <c r="H229" s="8">
        <v>431</v>
      </c>
      <c r="I229" s="4" t="str">
        <f>VLOOKUP(H229,[1]policlin!B:C,2,1)</f>
        <v>POLI. METROPOLITANO HUANCAYO</v>
      </c>
      <c r="J229" s="7">
        <v>23712790</v>
      </c>
      <c r="K229" s="7" t="s">
        <v>8</v>
      </c>
    </row>
    <row r="230" spans="1:11" x14ac:dyDescent="0.2">
      <c r="A230" s="4">
        <f t="shared" si="3"/>
        <v>229</v>
      </c>
      <c r="B230" s="4"/>
      <c r="C230" s="4"/>
      <c r="D230" s="13"/>
      <c r="E230" s="6"/>
      <c r="F230" s="6" t="s">
        <v>245</v>
      </c>
      <c r="G230" s="7">
        <v>82</v>
      </c>
      <c r="H230" s="8">
        <v>431</v>
      </c>
      <c r="I230" s="4" t="str">
        <f>VLOOKUP(H230,[1]policlin!B:C,2,1)</f>
        <v>POLI. METROPOLITANO HUANCAYO</v>
      </c>
      <c r="J230" s="7">
        <v>21256744</v>
      </c>
      <c r="K230" s="7" t="s">
        <v>8</v>
      </c>
    </row>
    <row r="231" spans="1:11" x14ac:dyDescent="0.2">
      <c r="A231" s="4">
        <f t="shared" si="3"/>
        <v>230</v>
      </c>
      <c r="B231" s="4"/>
      <c r="C231" s="4"/>
      <c r="D231" s="13"/>
      <c r="E231" s="6"/>
      <c r="F231" s="6" t="s">
        <v>246</v>
      </c>
      <c r="G231" s="7">
        <v>68</v>
      </c>
      <c r="H231" s="8">
        <v>494</v>
      </c>
      <c r="I231" s="4" t="str">
        <f>VLOOKUP(H231,[1]policlin!B:C,2,1)</f>
        <v>CAP III MANTARO</v>
      </c>
      <c r="J231" s="7">
        <v>20051878</v>
      </c>
      <c r="K231" s="7" t="s">
        <v>8</v>
      </c>
    </row>
    <row r="232" spans="1:11" x14ac:dyDescent="0.2">
      <c r="A232" s="4">
        <f t="shared" si="3"/>
        <v>231</v>
      </c>
      <c r="B232" s="4"/>
      <c r="C232" s="4"/>
      <c r="D232" s="13"/>
      <c r="E232" s="6"/>
      <c r="F232" s="6" t="s">
        <v>247</v>
      </c>
      <c r="G232" s="7">
        <v>84</v>
      </c>
      <c r="H232" s="8">
        <v>311</v>
      </c>
      <c r="I232" s="4" t="str">
        <f>VLOOKUP(H232,[1]policlin!B:C,2,1)</f>
        <v>POLI. JAUJA</v>
      </c>
      <c r="J232" s="7">
        <v>20647234</v>
      </c>
      <c r="K232" s="7" t="s">
        <v>8</v>
      </c>
    </row>
    <row r="233" spans="1:11" x14ac:dyDescent="0.2">
      <c r="A233" s="4">
        <f t="shared" si="3"/>
        <v>232</v>
      </c>
      <c r="B233" s="4"/>
      <c r="C233" s="4"/>
      <c r="D233" s="13"/>
      <c r="E233" s="6"/>
      <c r="F233" s="6" t="s">
        <v>248</v>
      </c>
      <c r="G233" s="7">
        <v>61</v>
      </c>
      <c r="H233" s="8">
        <v>334</v>
      </c>
      <c r="I233" s="4" t="str">
        <f>VLOOKUP(H233,[1]policlin!B:C,2,1)</f>
        <v>HOSP. I OXAPAMPA</v>
      </c>
      <c r="J233" s="7">
        <v>4303054</v>
      </c>
      <c r="K233" s="7" t="s">
        <v>8</v>
      </c>
    </row>
    <row r="234" spans="1:11" x14ac:dyDescent="0.2">
      <c r="A234" s="4">
        <f t="shared" si="3"/>
        <v>233</v>
      </c>
      <c r="B234" s="18"/>
      <c r="C234" s="18"/>
      <c r="D234" s="19"/>
      <c r="E234" s="20"/>
      <c r="F234" s="20" t="s">
        <v>249</v>
      </c>
      <c r="G234" s="7">
        <v>74</v>
      </c>
      <c r="H234" s="8">
        <v>311</v>
      </c>
      <c r="I234" s="4" t="str">
        <f>VLOOKUP(H234,[1]policlin!B:C,2,1)</f>
        <v>POLI. JAUJA</v>
      </c>
      <c r="J234" s="7">
        <v>20650338</v>
      </c>
      <c r="K234" s="7" t="s">
        <v>8</v>
      </c>
    </row>
    <row r="235" spans="1:11" x14ac:dyDescent="0.2">
      <c r="A235" s="4">
        <f t="shared" si="3"/>
        <v>234</v>
      </c>
      <c r="B235" s="4"/>
      <c r="C235" s="4"/>
      <c r="D235" s="13"/>
      <c r="E235" s="6"/>
      <c r="F235" s="6" t="s">
        <v>250</v>
      </c>
      <c r="G235" s="7">
        <v>76</v>
      </c>
      <c r="H235" s="8">
        <v>431</v>
      </c>
      <c r="I235" s="4" t="str">
        <f>VLOOKUP(H235,[1]policlin!B:C,2,1)</f>
        <v>POLI. METROPOLITANO HUANCAYO</v>
      </c>
      <c r="J235" s="7">
        <v>19939412</v>
      </c>
      <c r="K235" s="7" t="s">
        <v>8</v>
      </c>
    </row>
    <row r="236" spans="1:11" x14ac:dyDescent="0.2">
      <c r="A236" s="4">
        <f t="shared" si="3"/>
        <v>235</v>
      </c>
      <c r="B236" s="4"/>
      <c r="C236" s="4"/>
      <c r="D236" s="13"/>
      <c r="E236" s="6"/>
      <c r="F236" s="6" t="s">
        <v>251</v>
      </c>
      <c r="G236" s="7">
        <v>47</v>
      </c>
      <c r="H236" s="8">
        <v>342</v>
      </c>
      <c r="I236" s="4" t="str">
        <f>VLOOKUP(H236,[1]policlin!B:C,2,1)</f>
        <v>HOSP. II HUANCAVELICA</v>
      </c>
      <c r="J236" s="7">
        <v>23276732</v>
      </c>
      <c r="K236" s="7" t="s">
        <v>8</v>
      </c>
    </row>
    <row r="237" spans="1:11" x14ac:dyDescent="0.2">
      <c r="A237" s="4">
        <f t="shared" si="3"/>
        <v>236</v>
      </c>
      <c r="B237" s="4"/>
      <c r="C237" s="4"/>
      <c r="D237" s="13"/>
      <c r="E237" s="6"/>
      <c r="F237" s="6" t="s">
        <v>252</v>
      </c>
      <c r="G237" s="7">
        <v>71</v>
      </c>
      <c r="H237" s="8">
        <v>454</v>
      </c>
      <c r="I237" s="4" t="str">
        <f>VLOOKUP(H237,[1]policlin!B:C,2,1)</f>
        <v>CAP II CHILCA</v>
      </c>
      <c r="J237" s="7">
        <v>20058886</v>
      </c>
      <c r="K237" s="7" t="s">
        <v>8</v>
      </c>
    </row>
    <row r="238" spans="1:11" x14ac:dyDescent="0.2">
      <c r="A238" s="4">
        <f t="shared" si="3"/>
        <v>237</v>
      </c>
      <c r="B238" s="4"/>
      <c r="C238" s="4"/>
      <c r="D238" s="13"/>
      <c r="E238" s="6"/>
      <c r="F238" s="6" t="s">
        <v>253</v>
      </c>
      <c r="G238" s="7">
        <v>90</v>
      </c>
      <c r="H238" s="8">
        <v>494</v>
      </c>
      <c r="I238" s="4" t="str">
        <f>VLOOKUP(H238,[1]policlin!B:C,2,1)</f>
        <v>CAP III MANTARO</v>
      </c>
      <c r="J238" s="7">
        <v>20000363</v>
      </c>
      <c r="K238" s="7" t="s">
        <v>8</v>
      </c>
    </row>
    <row r="239" spans="1:11" x14ac:dyDescent="0.2">
      <c r="A239" s="4">
        <f t="shared" si="3"/>
        <v>238</v>
      </c>
      <c r="B239" s="4"/>
      <c r="C239" s="4"/>
      <c r="D239" s="13"/>
      <c r="E239" s="6"/>
      <c r="F239" s="6" t="s">
        <v>254</v>
      </c>
      <c r="G239" s="7">
        <v>54</v>
      </c>
      <c r="H239" s="8">
        <v>431</v>
      </c>
      <c r="I239" s="4" t="str">
        <f>VLOOKUP(H239,[1]policlin!B:C,2,1)</f>
        <v>POLI. METROPOLITANO HUANCAYO</v>
      </c>
      <c r="J239" s="7">
        <v>20030649</v>
      </c>
      <c r="K239" s="7" t="s">
        <v>8</v>
      </c>
    </row>
    <row r="240" spans="1:11" x14ac:dyDescent="0.2">
      <c r="A240" s="4">
        <f t="shared" si="3"/>
        <v>239</v>
      </c>
      <c r="B240" s="4"/>
      <c r="C240" s="4"/>
      <c r="D240" s="13"/>
      <c r="E240" s="10"/>
      <c r="F240" s="6" t="s">
        <v>255</v>
      </c>
      <c r="G240" s="7">
        <v>98</v>
      </c>
      <c r="H240" s="8">
        <v>494</v>
      </c>
      <c r="I240" s="4" t="str">
        <f>VLOOKUP(H240,[1]policlin!B:C,2,1)</f>
        <v>CAP III MANTARO</v>
      </c>
      <c r="J240" s="7">
        <v>19849642</v>
      </c>
      <c r="K240" s="7" t="s">
        <v>8</v>
      </c>
    </row>
    <row r="241" spans="1:11" x14ac:dyDescent="0.2">
      <c r="A241" s="4">
        <f t="shared" si="3"/>
        <v>240</v>
      </c>
      <c r="B241" s="4"/>
      <c r="C241" s="4"/>
      <c r="D241" s="13"/>
      <c r="E241" s="4"/>
      <c r="F241" s="6" t="s">
        <v>256</v>
      </c>
      <c r="G241" s="7">
        <v>47</v>
      </c>
      <c r="H241" s="8">
        <v>310</v>
      </c>
      <c r="I241" s="4" t="str">
        <f>VLOOKUP(H241,[1]policlin!B:C,2,1)</f>
        <v>HOSP. I TARMA</v>
      </c>
      <c r="J241" s="7">
        <v>21124661</v>
      </c>
      <c r="K241" s="7" t="s">
        <v>8</v>
      </c>
    </row>
    <row r="242" spans="1:11" x14ac:dyDescent="0.2">
      <c r="A242" s="4">
        <f t="shared" si="3"/>
        <v>241</v>
      </c>
      <c r="B242" s="4"/>
      <c r="C242" s="4"/>
      <c r="D242" s="13"/>
      <c r="E242" s="4"/>
      <c r="F242" s="6" t="s">
        <v>257</v>
      </c>
      <c r="G242" s="7">
        <v>54</v>
      </c>
      <c r="H242" s="8">
        <v>494</v>
      </c>
      <c r="I242" s="4" t="str">
        <f>VLOOKUP(H242,[1]policlin!B:C,2,1)</f>
        <v>CAP III MANTARO</v>
      </c>
      <c r="J242" s="7">
        <v>20065406</v>
      </c>
      <c r="K242" s="7" t="s">
        <v>8</v>
      </c>
    </row>
    <row r="243" spans="1:11" x14ac:dyDescent="0.2">
      <c r="A243" s="4">
        <f t="shared" si="3"/>
        <v>242</v>
      </c>
      <c r="B243" s="4"/>
      <c r="C243" s="4"/>
      <c r="D243" s="13"/>
      <c r="E243" s="4"/>
      <c r="F243" s="6" t="s">
        <v>258</v>
      </c>
      <c r="G243" s="7">
        <v>92</v>
      </c>
      <c r="H243" s="8">
        <v>431</v>
      </c>
      <c r="I243" s="4" t="str">
        <f>VLOOKUP(H243,[1]policlin!B:C,2,1)</f>
        <v>POLI. METROPOLITANO HUANCAYO</v>
      </c>
      <c r="J243" s="7">
        <v>20679742</v>
      </c>
      <c r="K243" s="7" t="s">
        <v>8</v>
      </c>
    </row>
    <row r="244" spans="1:11" x14ac:dyDescent="0.2">
      <c r="A244" s="4">
        <f t="shared" si="3"/>
        <v>243</v>
      </c>
      <c r="B244" s="4"/>
      <c r="C244" s="4"/>
      <c r="D244" s="4"/>
      <c r="E244" s="4"/>
      <c r="F244" s="6" t="s">
        <v>259</v>
      </c>
      <c r="G244" s="7">
        <v>74</v>
      </c>
      <c r="H244" s="8">
        <v>431</v>
      </c>
      <c r="I244" s="4" t="str">
        <f>VLOOKUP(H244,[1]policlin!B:C,2,1)</f>
        <v>POLI. METROPOLITANO HUANCAYO</v>
      </c>
      <c r="J244" s="7">
        <v>19967212</v>
      </c>
      <c r="K244" s="7" t="s">
        <v>8</v>
      </c>
    </row>
    <row r="245" spans="1:11" x14ac:dyDescent="0.2">
      <c r="A245" s="4">
        <f t="shared" si="3"/>
        <v>244</v>
      </c>
      <c r="B245" s="4"/>
      <c r="C245" s="4"/>
      <c r="D245" s="4"/>
      <c r="E245" s="4"/>
      <c r="F245" s="6" t="s">
        <v>260</v>
      </c>
      <c r="G245" s="7">
        <v>53</v>
      </c>
      <c r="H245" s="8">
        <v>431</v>
      </c>
      <c r="I245" s="4" t="str">
        <f>VLOOKUP(H245,[1]policlin!B:C,2,1)</f>
        <v>POLI. METROPOLITANO HUANCAYO</v>
      </c>
      <c r="J245" s="7">
        <v>40526995</v>
      </c>
      <c r="K245" s="7" t="s">
        <v>8</v>
      </c>
    </row>
    <row r="246" spans="1:11" x14ac:dyDescent="0.2">
      <c r="A246" s="4">
        <f t="shared" si="3"/>
        <v>245</v>
      </c>
      <c r="B246" s="4"/>
      <c r="C246" s="4"/>
      <c r="D246" s="4"/>
      <c r="E246" s="4"/>
      <c r="F246" s="6" t="s">
        <v>261</v>
      </c>
      <c r="G246" s="7">
        <v>93</v>
      </c>
      <c r="H246" s="8">
        <v>504</v>
      </c>
      <c r="I246" s="4" t="str">
        <f>VLOOKUP(H246,[1]policlin!B:C,2,1)</f>
        <v>CAP II CHUPACA</v>
      </c>
      <c r="J246" s="7">
        <v>19900504</v>
      </c>
      <c r="K246" s="7" t="s">
        <v>8</v>
      </c>
    </row>
    <row r="247" spans="1:11" x14ac:dyDescent="0.2">
      <c r="A247" s="4">
        <f t="shared" si="3"/>
        <v>246</v>
      </c>
      <c r="B247" s="4"/>
      <c r="C247" s="4"/>
      <c r="D247" s="4"/>
      <c r="E247" s="4"/>
      <c r="F247" s="6" t="s">
        <v>262</v>
      </c>
      <c r="G247" s="7">
        <v>88</v>
      </c>
      <c r="H247" s="8">
        <v>454</v>
      </c>
      <c r="I247" s="4" t="str">
        <f>VLOOKUP(H247,[1]policlin!B:C,2,1)</f>
        <v>CAP II CHILCA</v>
      </c>
      <c r="J247" s="7">
        <v>23679069</v>
      </c>
      <c r="K247" s="7" t="s">
        <v>8</v>
      </c>
    </row>
    <row r="248" spans="1:11" x14ac:dyDescent="0.2">
      <c r="A248" s="4">
        <f t="shared" si="3"/>
        <v>247</v>
      </c>
      <c r="B248" s="4"/>
      <c r="C248" s="4"/>
      <c r="D248" s="4"/>
      <c r="E248" s="4"/>
      <c r="F248" s="6" t="s">
        <v>263</v>
      </c>
      <c r="G248" s="7">
        <v>64</v>
      </c>
      <c r="H248" s="8">
        <v>431</v>
      </c>
      <c r="I248" s="4" t="str">
        <f>VLOOKUP(H248,[1]policlin!B:C,2,1)</f>
        <v>POLI. METROPOLITANO HUANCAYO</v>
      </c>
      <c r="J248" s="7">
        <v>19926390</v>
      </c>
      <c r="K248" s="7" t="s">
        <v>8</v>
      </c>
    </row>
    <row r="249" spans="1:11" x14ac:dyDescent="0.2">
      <c r="A249" s="4">
        <f t="shared" si="3"/>
        <v>248</v>
      </c>
      <c r="B249" s="4"/>
      <c r="C249" s="4"/>
      <c r="D249" s="4"/>
      <c r="E249" s="4"/>
      <c r="F249" s="6" t="s">
        <v>264</v>
      </c>
      <c r="G249" s="7">
        <v>80</v>
      </c>
      <c r="H249" s="8">
        <v>431</v>
      </c>
      <c r="I249" s="4" t="str">
        <f>VLOOKUP(H249,[1]policlin!B:C,2,1)</f>
        <v>POLI. METROPOLITANO HUANCAYO</v>
      </c>
      <c r="J249" s="7">
        <v>4208723</v>
      </c>
      <c r="K249" s="7" t="s">
        <v>8</v>
      </c>
    </row>
    <row r="250" spans="1:11" x14ac:dyDescent="0.2">
      <c r="A250" s="4">
        <f t="shared" si="3"/>
        <v>249</v>
      </c>
      <c r="B250" s="4"/>
      <c r="C250" s="4"/>
      <c r="D250" s="4"/>
      <c r="E250" s="4"/>
      <c r="F250" s="6" t="s">
        <v>265</v>
      </c>
      <c r="G250" s="7">
        <v>75</v>
      </c>
      <c r="H250" s="8">
        <v>340</v>
      </c>
      <c r="I250" s="4" t="str">
        <f>VLOOKUP(H250,[1]policlin!B:C,2,1)</f>
        <v>P. M. VILLA RICA</v>
      </c>
      <c r="J250" s="7">
        <v>4322698</v>
      </c>
      <c r="K250" s="7" t="s">
        <v>8</v>
      </c>
    </row>
    <row r="251" spans="1:11" x14ac:dyDescent="0.2">
      <c r="A251" s="4">
        <f t="shared" si="3"/>
        <v>250</v>
      </c>
      <c r="B251" s="4"/>
      <c r="C251" s="4"/>
      <c r="D251" s="4"/>
      <c r="E251" s="4"/>
      <c r="F251" s="6" t="s">
        <v>266</v>
      </c>
      <c r="G251" s="7">
        <v>96</v>
      </c>
      <c r="H251" s="8">
        <v>431</v>
      </c>
      <c r="I251" s="4" t="str">
        <f>VLOOKUP(H251,[1]policlin!B:C,2,1)</f>
        <v>POLI. METROPOLITANO HUANCAYO</v>
      </c>
      <c r="J251" s="7">
        <v>19929057</v>
      </c>
      <c r="K251" s="7" t="s">
        <v>8</v>
      </c>
    </row>
    <row r="252" spans="1:11" x14ac:dyDescent="0.2">
      <c r="A252" s="4">
        <f t="shared" si="3"/>
        <v>251</v>
      </c>
      <c r="B252" s="4"/>
      <c r="C252" s="4"/>
      <c r="D252" s="4"/>
      <c r="E252" s="4"/>
      <c r="F252" s="6" t="s">
        <v>267</v>
      </c>
      <c r="G252" s="7">
        <v>66</v>
      </c>
      <c r="H252" s="8">
        <v>431</v>
      </c>
      <c r="I252" s="4" t="str">
        <f>VLOOKUP(H252,[1]policlin!B:C,2,1)</f>
        <v>POLI. METROPOLITANO HUANCAYO</v>
      </c>
      <c r="J252" s="7">
        <v>19832534</v>
      </c>
      <c r="K252" s="7" t="s">
        <v>8</v>
      </c>
    </row>
    <row r="253" spans="1:11" x14ac:dyDescent="0.2">
      <c r="A253" s="4">
        <f t="shared" si="3"/>
        <v>252</v>
      </c>
      <c r="B253" s="4"/>
      <c r="C253" s="4"/>
      <c r="D253" s="4"/>
      <c r="E253" s="4"/>
      <c r="F253" s="6" t="s">
        <v>268</v>
      </c>
      <c r="G253" s="7">
        <v>78</v>
      </c>
      <c r="H253" s="8">
        <v>311</v>
      </c>
      <c r="I253" s="4" t="str">
        <f>VLOOKUP(H253,[1]policlin!B:C,2,1)</f>
        <v>POLI. JAUJA</v>
      </c>
      <c r="J253" s="7">
        <v>20652271</v>
      </c>
      <c r="K253" s="7" t="s">
        <v>8</v>
      </c>
    </row>
    <row r="254" spans="1:11" x14ac:dyDescent="0.2">
      <c r="A254" s="4">
        <f t="shared" si="3"/>
        <v>253</v>
      </c>
      <c r="B254" s="4"/>
      <c r="C254" s="5">
        <v>46093</v>
      </c>
      <c r="D254" s="4"/>
      <c r="E254" s="4"/>
      <c r="F254" s="6" t="s">
        <v>269</v>
      </c>
      <c r="G254" s="7">
        <v>68</v>
      </c>
      <c r="H254" s="8">
        <v>494</v>
      </c>
      <c r="I254" s="4" t="str">
        <f>VLOOKUP(H254,[1]policlin!B:C,2,1)</f>
        <v>CAP III MANTARO</v>
      </c>
      <c r="J254" s="7">
        <v>28203789</v>
      </c>
      <c r="K254" s="7" t="s">
        <v>8</v>
      </c>
    </row>
    <row r="255" spans="1:11" x14ac:dyDescent="0.2">
      <c r="A255" s="4">
        <f t="shared" si="3"/>
        <v>254</v>
      </c>
      <c r="B255" s="4"/>
      <c r="C255" s="4"/>
      <c r="D255" s="4"/>
      <c r="E255" s="4"/>
      <c r="F255" s="6" t="s">
        <v>270</v>
      </c>
      <c r="G255" s="7">
        <v>38</v>
      </c>
      <c r="H255" s="8">
        <v>431</v>
      </c>
      <c r="I255" s="4" t="str">
        <f>VLOOKUP(H255,[1]policlin!B:C,2,1)</f>
        <v>POLI. METROPOLITANO HUANCAYO</v>
      </c>
      <c r="J255" s="7">
        <v>44353572</v>
      </c>
      <c r="K255" s="7" t="s">
        <v>8</v>
      </c>
    </row>
    <row r="256" spans="1:11" x14ac:dyDescent="0.2">
      <c r="A256" s="4">
        <f t="shared" si="3"/>
        <v>255</v>
      </c>
      <c r="B256" s="4"/>
      <c r="C256" s="4"/>
      <c r="D256" s="4"/>
      <c r="E256" s="4"/>
      <c r="F256" s="6" t="s">
        <v>271</v>
      </c>
      <c r="G256" s="7">
        <v>83</v>
      </c>
      <c r="H256" s="8">
        <v>431</v>
      </c>
      <c r="I256" s="4" t="str">
        <f>VLOOKUP(H256,[1]policlin!B:C,2,1)</f>
        <v>POLI. METROPOLITANO HUANCAYO</v>
      </c>
      <c r="J256" s="7">
        <v>21065909</v>
      </c>
      <c r="K256" s="7" t="s">
        <v>8</v>
      </c>
    </row>
    <row r="257" spans="1:11" x14ac:dyDescent="0.2">
      <c r="A257" s="4">
        <f t="shared" si="3"/>
        <v>256</v>
      </c>
      <c r="B257" s="4"/>
      <c r="C257" s="4"/>
      <c r="D257" s="4"/>
      <c r="E257" s="4"/>
      <c r="F257" s="6" t="s">
        <v>272</v>
      </c>
      <c r="G257" s="7">
        <v>62</v>
      </c>
      <c r="H257" s="8">
        <v>504</v>
      </c>
      <c r="I257" s="4" t="str">
        <f>VLOOKUP(H257,[1]policlin!B:C,2,1)</f>
        <v>CAP II CHUPACA</v>
      </c>
      <c r="J257" s="7">
        <v>19902040</v>
      </c>
      <c r="K257" s="7" t="s">
        <v>8</v>
      </c>
    </row>
    <row r="258" spans="1:11" x14ac:dyDescent="0.2">
      <c r="A258" s="4">
        <f t="shared" si="3"/>
        <v>257</v>
      </c>
      <c r="B258" s="4"/>
      <c r="C258" s="4"/>
      <c r="D258" s="4"/>
      <c r="E258" s="5">
        <v>46037</v>
      </c>
      <c r="F258" s="6" t="s">
        <v>273</v>
      </c>
      <c r="G258" s="7">
        <v>66</v>
      </c>
      <c r="H258" s="8">
        <v>308</v>
      </c>
      <c r="I258" s="4" t="str">
        <f>VLOOKUP(H258,[1]policlin!B:C,2,1)</f>
        <v>HOSP. II LA OROYA</v>
      </c>
      <c r="J258" s="7">
        <v>21284228</v>
      </c>
      <c r="K258" s="7" t="s">
        <v>8</v>
      </c>
    </row>
    <row r="259" spans="1:11" x14ac:dyDescent="0.2">
      <c r="A259" s="4">
        <f t="shared" si="3"/>
        <v>258</v>
      </c>
      <c r="B259" s="4"/>
      <c r="C259" s="4"/>
      <c r="D259" s="4"/>
      <c r="E259" s="4"/>
      <c r="F259" s="6" t="s">
        <v>274</v>
      </c>
      <c r="G259" s="7">
        <v>72</v>
      </c>
      <c r="H259" s="8">
        <v>431</v>
      </c>
      <c r="I259" s="4" t="str">
        <f>VLOOKUP(H259,[1]policlin!B:C,2,1)</f>
        <v>POLI. METROPOLITANO HUANCAYO</v>
      </c>
      <c r="J259" s="7">
        <v>20563880</v>
      </c>
      <c r="K259" s="7" t="s">
        <v>8</v>
      </c>
    </row>
    <row r="260" spans="1:11" x14ac:dyDescent="0.2">
      <c r="A260" s="4">
        <f t="shared" ref="A260:A323" si="4">SUM(1+A259)</f>
        <v>259</v>
      </c>
      <c r="B260" s="4"/>
      <c r="C260" s="4"/>
      <c r="D260" s="4"/>
      <c r="E260" s="4"/>
      <c r="F260" s="6" t="s">
        <v>275</v>
      </c>
      <c r="G260" s="7">
        <v>80</v>
      </c>
      <c r="H260" s="8">
        <v>504</v>
      </c>
      <c r="I260" s="4" t="str">
        <f>VLOOKUP(H260,[1]policlin!B:C,2,1)</f>
        <v>CAP II CHUPACA</v>
      </c>
      <c r="J260" s="7">
        <v>19902170</v>
      </c>
      <c r="K260" s="7" t="s">
        <v>8</v>
      </c>
    </row>
    <row r="261" spans="1:11" x14ac:dyDescent="0.2">
      <c r="A261" s="4">
        <f t="shared" si="4"/>
        <v>260</v>
      </c>
      <c r="B261" s="4"/>
      <c r="C261" s="4"/>
      <c r="D261" s="4"/>
      <c r="E261" s="4"/>
      <c r="F261" s="6" t="s">
        <v>276</v>
      </c>
      <c r="G261" s="7">
        <v>79</v>
      </c>
      <c r="H261" s="8">
        <v>494</v>
      </c>
      <c r="I261" s="4" t="str">
        <f>VLOOKUP(H261,[1]policlin!B:C,2,1)</f>
        <v>CAP III MANTARO</v>
      </c>
      <c r="J261" s="7">
        <v>21248768</v>
      </c>
      <c r="K261" s="7" t="s">
        <v>8</v>
      </c>
    </row>
    <row r="262" spans="1:11" x14ac:dyDescent="0.2">
      <c r="A262" s="4">
        <f t="shared" si="4"/>
        <v>261</v>
      </c>
      <c r="B262" s="4"/>
      <c r="C262" s="4"/>
      <c r="D262" s="4"/>
      <c r="E262" s="4"/>
      <c r="F262" s="6" t="s">
        <v>277</v>
      </c>
      <c r="G262" s="7">
        <v>84</v>
      </c>
      <c r="H262" s="8">
        <v>311</v>
      </c>
      <c r="I262" s="4" t="str">
        <f>VLOOKUP(H262,[1]policlin!B:C,2,1)</f>
        <v>POLI. JAUJA</v>
      </c>
      <c r="J262" s="7">
        <v>20645228</v>
      </c>
      <c r="K262" s="7" t="s">
        <v>8</v>
      </c>
    </row>
    <row r="263" spans="1:11" x14ac:dyDescent="0.2">
      <c r="A263" s="4">
        <f t="shared" si="4"/>
        <v>262</v>
      </c>
      <c r="B263" s="4"/>
      <c r="C263" s="4"/>
      <c r="D263" s="4"/>
      <c r="E263" s="4"/>
      <c r="F263" s="6" t="s">
        <v>278</v>
      </c>
      <c r="G263" s="7">
        <v>75</v>
      </c>
      <c r="H263" s="8">
        <v>325</v>
      </c>
      <c r="I263" s="4" t="str">
        <f>VLOOKUP(H263,[1]policlin!B:C,2,1)</f>
        <v>HOSP. II PASCO</v>
      </c>
      <c r="J263" s="7">
        <v>4057217</v>
      </c>
      <c r="K263" s="7" t="s">
        <v>8</v>
      </c>
    </row>
    <row r="264" spans="1:11" x14ac:dyDescent="0.2">
      <c r="A264" s="4">
        <f t="shared" si="4"/>
        <v>263</v>
      </c>
      <c r="B264" s="4"/>
      <c r="C264" s="4"/>
      <c r="D264" s="4"/>
      <c r="E264" s="4"/>
      <c r="F264" s="6" t="s">
        <v>279</v>
      </c>
      <c r="G264" s="7">
        <v>82</v>
      </c>
      <c r="H264" s="8">
        <v>494</v>
      </c>
      <c r="I264" s="4" t="str">
        <f>VLOOKUP(H264,[1]policlin!B:C,2,1)</f>
        <v>CAP III MANTARO</v>
      </c>
      <c r="J264" s="7">
        <v>19852321</v>
      </c>
      <c r="K264" s="7" t="s">
        <v>8</v>
      </c>
    </row>
    <row r="265" spans="1:11" x14ac:dyDescent="0.2">
      <c r="A265" s="4">
        <f t="shared" si="4"/>
        <v>264</v>
      </c>
      <c r="B265" s="4"/>
      <c r="C265" s="4"/>
      <c r="D265" s="4"/>
      <c r="E265" s="4"/>
      <c r="F265" s="6" t="s">
        <v>280</v>
      </c>
      <c r="G265" s="7">
        <v>90</v>
      </c>
      <c r="H265" s="8">
        <v>431</v>
      </c>
      <c r="I265" s="4" t="str">
        <f>VLOOKUP(H265,[1]policlin!B:C,2,1)</f>
        <v>POLI. METROPOLITANO HUANCAYO</v>
      </c>
      <c r="J265" s="7">
        <v>21281849</v>
      </c>
      <c r="K265" s="7" t="s">
        <v>8</v>
      </c>
    </row>
    <row r="266" spans="1:11" x14ac:dyDescent="0.2">
      <c r="A266" s="4">
        <f t="shared" si="4"/>
        <v>265</v>
      </c>
      <c r="B266" s="4"/>
      <c r="C266" s="4"/>
      <c r="D266" s="4"/>
      <c r="E266" s="4"/>
      <c r="F266" s="6" t="s">
        <v>281</v>
      </c>
      <c r="G266" s="7">
        <v>84</v>
      </c>
      <c r="H266" s="8">
        <v>454</v>
      </c>
      <c r="I266" s="4" t="str">
        <f>VLOOKUP(H266,[1]policlin!B:C,2,1)</f>
        <v>CAP II CHILCA</v>
      </c>
      <c r="J266" s="7">
        <v>20090836</v>
      </c>
      <c r="K266" s="7" t="s">
        <v>8</v>
      </c>
    </row>
    <row r="267" spans="1:11" x14ac:dyDescent="0.2">
      <c r="A267" s="4">
        <f t="shared" si="4"/>
        <v>266</v>
      </c>
      <c r="B267" s="4"/>
      <c r="C267" s="4"/>
      <c r="D267" s="4"/>
      <c r="E267" s="4"/>
      <c r="F267" s="6" t="s">
        <v>282</v>
      </c>
      <c r="G267" s="7">
        <v>81</v>
      </c>
      <c r="H267" s="8">
        <v>431</v>
      </c>
      <c r="I267" s="4" t="str">
        <f>VLOOKUP(H267,[1]policlin!B:C,2,1)</f>
        <v>POLI. METROPOLITANO HUANCAYO</v>
      </c>
      <c r="J267" s="7">
        <v>19936627</v>
      </c>
      <c r="K267" s="7" t="s">
        <v>8</v>
      </c>
    </row>
    <row r="268" spans="1:11" x14ac:dyDescent="0.2">
      <c r="A268" s="4">
        <f t="shared" si="4"/>
        <v>267</v>
      </c>
      <c r="B268" s="4"/>
      <c r="C268" s="4"/>
      <c r="D268" s="4"/>
      <c r="E268" s="4"/>
      <c r="F268" s="6" t="s">
        <v>283</v>
      </c>
      <c r="G268" s="7">
        <v>57</v>
      </c>
      <c r="H268" s="8">
        <v>431</v>
      </c>
      <c r="I268" s="4" t="str">
        <f>VLOOKUP(H268,[1]policlin!B:C,2,1)</f>
        <v>POLI. METROPOLITANO HUANCAYO</v>
      </c>
      <c r="J268" s="7">
        <v>20049907</v>
      </c>
      <c r="K268" s="7" t="s">
        <v>8</v>
      </c>
    </row>
    <row r="269" spans="1:11" x14ac:dyDescent="0.2">
      <c r="A269" s="4">
        <f t="shared" si="4"/>
        <v>268</v>
      </c>
      <c r="B269" s="4"/>
      <c r="C269" s="4"/>
      <c r="D269" s="4"/>
      <c r="E269" s="4"/>
      <c r="F269" s="6" t="s">
        <v>284</v>
      </c>
      <c r="G269" s="7">
        <v>67</v>
      </c>
      <c r="H269" s="8">
        <v>431</v>
      </c>
      <c r="I269" s="4" t="str">
        <f>VLOOKUP(H269,[1]policlin!B:C,2,1)</f>
        <v>POLI. METROPOLITANO HUANCAYO</v>
      </c>
      <c r="J269" s="7">
        <v>20400680</v>
      </c>
      <c r="K269" s="7" t="s">
        <v>8</v>
      </c>
    </row>
    <row r="270" spans="1:11" x14ac:dyDescent="0.2">
      <c r="A270" s="4">
        <f t="shared" si="4"/>
        <v>269</v>
      </c>
      <c r="B270" s="4"/>
      <c r="C270" s="4"/>
      <c r="D270" s="4"/>
      <c r="E270" s="4"/>
      <c r="F270" s="6" t="s">
        <v>285</v>
      </c>
      <c r="G270" s="7">
        <v>68</v>
      </c>
      <c r="H270" s="8">
        <v>431</v>
      </c>
      <c r="I270" s="4" t="str">
        <f>VLOOKUP(H270,[1]policlin!B:C,2,1)</f>
        <v>POLI. METROPOLITANO HUANCAYO</v>
      </c>
      <c r="J270" s="7">
        <v>19924091</v>
      </c>
      <c r="K270" s="7" t="s">
        <v>8</v>
      </c>
    </row>
    <row r="271" spans="1:11" x14ac:dyDescent="0.2">
      <c r="A271" s="4">
        <f t="shared" si="4"/>
        <v>270</v>
      </c>
      <c r="B271" s="4"/>
      <c r="C271" s="4"/>
      <c r="D271" s="4"/>
      <c r="E271" s="4"/>
      <c r="F271" s="6" t="s">
        <v>286</v>
      </c>
      <c r="G271" s="7">
        <v>72</v>
      </c>
      <c r="H271" s="8">
        <v>431</v>
      </c>
      <c r="I271" s="4" t="str">
        <f>VLOOKUP(H271,[1]policlin!B:C,2,1)</f>
        <v>POLI. METROPOLITANO HUANCAYO</v>
      </c>
      <c r="J271" s="7">
        <v>19884091</v>
      </c>
      <c r="K271" s="7" t="s">
        <v>8</v>
      </c>
    </row>
    <row r="272" spans="1:11" x14ac:dyDescent="0.2">
      <c r="A272" s="4">
        <f t="shared" si="4"/>
        <v>271</v>
      </c>
      <c r="B272" s="4"/>
      <c r="C272" s="4"/>
      <c r="D272" s="4"/>
      <c r="E272" s="4"/>
      <c r="F272" s="6" t="s">
        <v>287</v>
      </c>
      <c r="G272" s="7">
        <v>77</v>
      </c>
      <c r="H272" s="8">
        <v>431</v>
      </c>
      <c r="I272" s="4" t="str">
        <f>VLOOKUP(H272,[1]policlin!B:C,2,1)</f>
        <v>POLI. METROPOLITANO HUANCAYO</v>
      </c>
      <c r="J272" s="7">
        <v>20056032</v>
      </c>
      <c r="K272" s="7" t="s">
        <v>8</v>
      </c>
    </row>
    <row r="273" spans="1:11" x14ac:dyDescent="0.2">
      <c r="A273" s="4">
        <f t="shared" si="4"/>
        <v>272</v>
      </c>
      <c r="B273" s="4"/>
      <c r="C273" s="4"/>
      <c r="D273" s="4"/>
      <c r="E273" s="4"/>
      <c r="F273" s="6" t="s">
        <v>288</v>
      </c>
      <c r="G273" s="7">
        <v>75</v>
      </c>
      <c r="H273" s="8">
        <v>308</v>
      </c>
      <c r="I273" s="4" t="str">
        <f>VLOOKUP(H273,[1]policlin!B:C,2,1)</f>
        <v>HOSP. II LA OROYA</v>
      </c>
      <c r="J273" s="7">
        <v>20880590</v>
      </c>
      <c r="K273" s="7" t="s">
        <v>8</v>
      </c>
    </row>
    <row r="274" spans="1:11" x14ac:dyDescent="0.2">
      <c r="A274" s="4">
        <f t="shared" si="4"/>
        <v>273</v>
      </c>
      <c r="B274" s="4"/>
      <c r="C274" s="4"/>
      <c r="D274" s="4"/>
      <c r="E274" s="4"/>
      <c r="F274" s="6" t="s">
        <v>289</v>
      </c>
      <c r="G274" s="7">
        <v>65</v>
      </c>
      <c r="H274" s="8">
        <v>494</v>
      </c>
      <c r="I274" s="4" t="str">
        <f>VLOOKUP(H274,[1]policlin!B:C,2,1)</f>
        <v>CAP III MANTARO</v>
      </c>
      <c r="J274" s="7">
        <v>21243165</v>
      </c>
      <c r="K274" s="7" t="s">
        <v>8</v>
      </c>
    </row>
    <row r="275" spans="1:11" x14ac:dyDescent="0.2">
      <c r="A275" s="4">
        <f t="shared" si="4"/>
        <v>274</v>
      </c>
      <c r="B275" s="4"/>
      <c r="C275" s="4"/>
      <c r="D275" s="4"/>
      <c r="E275" s="4"/>
      <c r="F275" s="6" t="s">
        <v>290</v>
      </c>
      <c r="G275" s="7">
        <v>85</v>
      </c>
      <c r="H275" s="8">
        <v>431</v>
      </c>
      <c r="I275" s="4" t="str">
        <f>VLOOKUP(H275,[1]policlin!B:C,2,1)</f>
        <v>POLI. METROPOLITANO HUANCAYO</v>
      </c>
      <c r="J275" s="7">
        <v>19928567</v>
      </c>
      <c r="K275" s="7" t="s">
        <v>8</v>
      </c>
    </row>
    <row r="276" spans="1:11" x14ac:dyDescent="0.2">
      <c r="A276" s="4">
        <f t="shared" si="4"/>
        <v>275</v>
      </c>
      <c r="B276" s="4"/>
      <c r="C276" s="4"/>
      <c r="D276" s="4"/>
      <c r="E276" s="4"/>
      <c r="F276" s="6" t="s">
        <v>291</v>
      </c>
      <c r="G276" s="7">
        <v>73</v>
      </c>
      <c r="H276" s="8">
        <v>431</v>
      </c>
      <c r="I276" s="4" t="str">
        <f>VLOOKUP(H276,[1]policlin!B:C,2,1)</f>
        <v>POLI. METROPOLITANO HUANCAYO</v>
      </c>
      <c r="J276" s="7">
        <v>21282838</v>
      </c>
      <c r="K276" s="7" t="s">
        <v>8</v>
      </c>
    </row>
    <row r="277" spans="1:11" x14ac:dyDescent="0.2">
      <c r="A277" s="4">
        <f t="shared" si="4"/>
        <v>276</v>
      </c>
      <c r="B277" s="4"/>
      <c r="C277" s="4"/>
      <c r="D277" s="4"/>
      <c r="E277" s="4"/>
      <c r="F277" s="6" t="s">
        <v>292</v>
      </c>
      <c r="G277" s="7">
        <v>76</v>
      </c>
      <c r="H277" s="8">
        <v>431</v>
      </c>
      <c r="I277" s="4" t="str">
        <f>VLOOKUP(H277,[1]policlin!B:C,2,1)</f>
        <v>POLI. METROPOLITANO HUANCAYO</v>
      </c>
      <c r="J277" s="7">
        <v>19913681</v>
      </c>
      <c r="K277" s="7" t="s">
        <v>8</v>
      </c>
    </row>
    <row r="278" spans="1:11" x14ac:dyDescent="0.2">
      <c r="A278" s="4">
        <f t="shared" si="4"/>
        <v>277</v>
      </c>
      <c r="B278" s="4"/>
      <c r="C278" s="4"/>
      <c r="D278" s="4"/>
      <c r="E278" s="4"/>
      <c r="F278" s="6" t="s">
        <v>293</v>
      </c>
      <c r="G278" s="7">
        <v>70</v>
      </c>
      <c r="H278" s="8">
        <v>431</v>
      </c>
      <c r="I278" s="4" t="str">
        <f>VLOOKUP(H278,[1]policlin!B:C,2,1)</f>
        <v>POLI. METROPOLITANO HUANCAYO</v>
      </c>
      <c r="J278" s="7">
        <v>19928220</v>
      </c>
      <c r="K278" s="7" t="s">
        <v>8</v>
      </c>
    </row>
    <row r="279" spans="1:11" x14ac:dyDescent="0.2">
      <c r="A279" s="4">
        <f t="shared" si="4"/>
        <v>278</v>
      </c>
      <c r="B279" s="4"/>
      <c r="C279" s="4"/>
      <c r="D279" s="4"/>
      <c r="E279" s="4"/>
      <c r="F279" s="6" t="s">
        <v>294</v>
      </c>
      <c r="G279" s="7">
        <v>80</v>
      </c>
      <c r="H279" s="8">
        <v>334</v>
      </c>
      <c r="I279" s="4" t="str">
        <f>VLOOKUP(H279,[1]policlin!B:C,2,1)</f>
        <v>HOSP. I OXAPAMPA</v>
      </c>
      <c r="J279" s="7">
        <v>4304993</v>
      </c>
      <c r="K279" s="7" t="s">
        <v>8</v>
      </c>
    </row>
    <row r="280" spans="1:11" x14ac:dyDescent="0.2">
      <c r="A280" s="4">
        <f t="shared" si="4"/>
        <v>279</v>
      </c>
      <c r="B280" s="4"/>
      <c r="C280" s="4"/>
      <c r="D280" s="4"/>
      <c r="E280" s="4"/>
      <c r="F280" s="6" t="s">
        <v>295</v>
      </c>
      <c r="G280" s="7">
        <v>58</v>
      </c>
      <c r="H280" s="8">
        <v>431</v>
      </c>
      <c r="I280" s="4" t="str">
        <f>VLOOKUP(H280,[1]policlin!B:C,2,1)</f>
        <v>POLI. METROPOLITANO HUANCAYO</v>
      </c>
      <c r="J280" s="7">
        <v>21259306</v>
      </c>
      <c r="K280" s="7" t="s">
        <v>8</v>
      </c>
    </row>
    <row r="281" spans="1:11" x14ac:dyDescent="0.2">
      <c r="A281" s="4">
        <f t="shared" si="4"/>
        <v>280</v>
      </c>
      <c r="B281" s="4"/>
      <c r="C281" s="4"/>
      <c r="D281" s="4"/>
      <c r="E281" s="4"/>
      <c r="F281" s="6" t="s">
        <v>296</v>
      </c>
      <c r="G281" s="7">
        <v>77</v>
      </c>
      <c r="H281" s="8">
        <v>494</v>
      </c>
      <c r="I281" s="4" t="str">
        <f>VLOOKUP(H281,[1]policlin!B:C,2,1)</f>
        <v>CAP III MANTARO</v>
      </c>
      <c r="J281" s="7">
        <v>19827991</v>
      </c>
      <c r="K281" s="7" t="s">
        <v>8</v>
      </c>
    </row>
    <row r="282" spans="1:11" x14ac:dyDescent="0.2">
      <c r="A282" s="4">
        <f t="shared" si="4"/>
        <v>281</v>
      </c>
      <c r="B282" s="4"/>
      <c r="C282" s="4"/>
      <c r="D282" s="4"/>
      <c r="E282" s="4"/>
      <c r="F282" s="6" t="s">
        <v>297</v>
      </c>
      <c r="G282" s="7">
        <v>70</v>
      </c>
      <c r="H282" s="8">
        <v>504</v>
      </c>
      <c r="I282" s="4" t="str">
        <f>VLOOKUP(H282,[1]policlin!B:C,2,1)</f>
        <v>CAP II CHUPACA</v>
      </c>
      <c r="J282" s="7">
        <v>19901781</v>
      </c>
      <c r="K282" s="7" t="s">
        <v>8</v>
      </c>
    </row>
    <row r="283" spans="1:11" x14ac:dyDescent="0.2">
      <c r="A283" s="4">
        <f t="shared" si="4"/>
        <v>282</v>
      </c>
      <c r="B283" s="4"/>
      <c r="C283" s="4"/>
      <c r="D283" s="4"/>
      <c r="E283" s="4"/>
      <c r="F283" s="6" t="s">
        <v>298</v>
      </c>
      <c r="G283" s="7">
        <v>83</v>
      </c>
      <c r="H283" s="8">
        <v>494</v>
      </c>
      <c r="I283" s="4" t="str">
        <f>VLOOKUP(H283,[1]policlin!B:C,2,1)</f>
        <v>CAP III MANTARO</v>
      </c>
      <c r="J283" s="7">
        <v>25533131</v>
      </c>
      <c r="K283" s="7" t="s">
        <v>8</v>
      </c>
    </row>
    <row r="284" spans="1:11" x14ac:dyDescent="0.2">
      <c r="A284" s="4">
        <f t="shared" si="4"/>
        <v>283</v>
      </c>
      <c r="B284" s="4"/>
      <c r="C284" s="4"/>
      <c r="D284" s="4"/>
      <c r="E284" s="4"/>
      <c r="F284" s="6" t="s">
        <v>299</v>
      </c>
      <c r="G284" s="7">
        <v>85</v>
      </c>
      <c r="H284" s="8">
        <v>431</v>
      </c>
      <c r="I284" s="4" t="str">
        <f>VLOOKUP(H284,[1]policlin!B:C,2,1)</f>
        <v>POLI. METROPOLITANO HUANCAYO</v>
      </c>
      <c r="J284" s="7">
        <v>19910997</v>
      </c>
      <c r="K284" s="7" t="s">
        <v>8</v>
      </c>
    </row>
    <row r="285" spans="1:11" x14ac:dyDescent="0.2">
      <c r="A285" s="4">
        <f t="shared" si="4"/>
        <v>284</v>
      </c>
      <c r="B285" s="4"/>
      <c r="C285" s="4"/>
      <c r="D285" s="4"/>
      <c r="E285" s="4"/>
      <c r="F285" s="6" t="s">
        <v>300</v>
      </c>
      <c r="G285" s="7">
        <v>82</v>
      </c>
      <c r="H285" s="8">
        <v>431</v>
      </c>
      <c r="I285" s="4" t="str">
        <f>VLOOKUP(H285,[1]policlin!B:C,2,1)</f>
        <v>POLI. METROPOLITANO HUANCAYO</v>
      </c>
      <c r="J285" s="7">
        <v>19911893</v>
      </c>
      <c r="K285" s="7" t="s">
        <v>8</v>
      </c>
    </row>
    <row r="286" spans="1:11" x14ac:dyDescent="0.2">
      <c r="A286" s="4">
        <f t="shared" si="4"/>
        <v>285</v>
      </c>
      <c r="B286" s="4"/>
      <c r="C286" s="4"/>
      <c r="D286" s="4"/>
      <c r="E286" s="4"/>
      <c r="F286" s="6" t="s">
        <v>301</v>
      </c>
      <c r="G286" s="7">
        <v>63</v>
      </c>
      <c r="H286" s="8">
        <v>454</v>
      </c>
      <c r="I286" s="4" t="str">
        <f>VLOOKUP(H286,[1]policlin!B:C,2,1)</f>
        <v>CAP II CHILCA</v>
      </c>
      <c r="J286" s="7">
        <v>19879910</v>
      </c>
      <c r="K286" s="7" t="s">
        <v>8</v>
      </c>
    </row>
    <row r="287" spans="1:11" x14ac:dyDescent="0.2">
      <c r="A287" s="4">
        <f t="shared" si="4"/>
        <v>286</v>
      </c>
      <c r="B287" s="4"/>
      <c r="C287" s="4"/>
      <c r="D287" s="4"/>
      <c r="E287" s="4"/>
      <c r="F287" s="6" t="s">
        <v>302</v>
      </c>
      <c r="G287" s="7">
        <v>79</v>
      </c>
      <c r="H287" s="8">
        <v>310</v>
      </c>
      <c r="I287" s="4" t="str">
        <f>VLOOKUP(H287,[1]policlin!B:C,2,1)</f>
        <v>HOSP. I TARMA</v>
      </c>
      <c r="J287" s="7">
        <v>21089893</v>
      </c>
      <c r="K287" s="7" t="s">
        <v>8</v>
      </c>
    </row>
    <row r="288" spans="1:11" x14ac:dyDescent="0.2">
      <c r="A288" s="4">
        <f t="shared" si="4"/>
        <v>287</v>
      </c>
      <c r="B288" s="4"/>
      <c r="C288" s="4"/>
      <c r="D288" s="4"/>
      <c r="E288" s="4"/>
      <c r="F288" s="6" t="s">
        <v>303</v>
      </c>
      <c r="G288" s="7">
        <v>68</v>
      </c>
      <c r="H288" s="8">
        <v>494</v>
      </c>
      <c r="I288" s="4" t="str">
        <f>VLOOKUP(H288,[1]policlin!B:C,2,1)</f>
        <v>CAP III MANTARO</v>
      </c>
      <c r="J288" s="7">
        <v>19832768</v>
      </c>
      <c r="K288" s="7" t="s">
        <v>8</v>
      </c>
    </row>
    <row r="289" spans="1:11" x14ac:dyDescent="0.2">
      <c r="A289" s="4">
        <f t="shared" si="4"/>
        <v>288</v>
      </c>
      <c r="B289" s="4"/>
      <c r="C289" s="4"/>
      <c r="D289" s="4"/>
      <c r="E289" s="4"/>
      <c r="F289" s="6" t="s">
        <v>304</v>
      </c>
      <c r="G289" s="7">
        <v>50</v>
      </c>
      <c r="H289" s="8">
        <v>494</v>
      </c>
      <c r="I289" s="4" t="str">
        <f>VLOOKUP(H289,[1]policlin!B:C,2,1)</f>
        <v>CAP III MANTARO</v>
      </c>
      <c r="J289" s="7">
        <v>20054989</v>
      </c>
      <c r="K289" s="7" t="s">
        <v>8</v>
      </c>
    </row>
    <row r="290" spans="1:11" x14ac:dyDescent="0.2">
      <c r="A290" s="4">
        <f t="shared" si="4"/>
        <v>289</v>
      </c>
      <c r="B290" s="4"/>
      <c r="C290" s="4"/>
      <c r="D290" s="4"/>
      <c r="E290" s="4"/>
      <c r="F290" s="6" t="s">
        <v>305</v>
      </c>
      <c r="G290" s="7">
        <v>69</v>
      </c>
      <c r="H290" s="8">
        <v>504</v>
      </c>
      <c r="I290" s="4" t="str">
        <f>VLOOKUP(H290,[1]policlin!B:C,2,1)</f>
        <v>CAP II CHUPACA</v>
      </c>
      <c r="J290" s="7">
        <v>19866675</v>
      </c>
      <c r="K290" s="7" t="s">
        <v>8</v>
      </c>
    </row>
    <row r="291" spans="1:11" x14ac:dyDescent="0.2">
      <c r="A291" s="4">
        <f t="shared" si="4"/>
        <v>290</v>
      </c>
      <c r="B291" s="4"/>
      <c r="C291" s="4"/>
      <c r="D291" s="4"/>
      <c r="E291" s="4"/>
      <c r="F291" s="6" t="s">
        <v>306</v>
      </c>
      <c r="G291" s="7">
        <v>74</v>
      </c>
      <c r="H291" s="8">
        <v>431</v>
      </c>
      <c r="I291" s="4" t="str">
        <f>VLOOKUP(H291,[1]policlin!B:C,2,1)</f>
        <v>POLI. METROPOLITANO HUANCAYO</v>
      </c>
      <c r="J291" s="7">
        <v>16280285</v>
      </c>
      <c r="K291" s="7" t="s">
        <v>8</v>
      </c>
    </row>
    <row r="292" spans="1:11" x14ac:dyDescent="0.2">
      <c r="A292" s="4">
        <f t="shared" si="4"/>
        <v>291</v>
      </c>
      <c r="B292" s="4"/>
      <c r="C292" s="4"/>
      <c r="D292" s="4"/>
      <c r="E292" s="4"/>
      <c r="F292" s="6" t="s">
        <v>307</v>
      </c>
      <c r="G292" s="7">
        <v>49</v>
      </c>
      <c r="H292" s="8">
        <v>431</v>
      </c>
      <c r="I292" s="4" t="str">
        <f>VLOOKUP(H292,[1]policlin!B:C,2,1)</f>
        <v>POLI. METROPOLITANO HUANCAYO</v>
      </c>
      <c r="J292" s="7">
        <v>20089535</v>
      </c>
      <c r="K292" s="7" t="s">
        <v>8</v>
      </c>
    </row>
    <row r="293" spans="1:11" x14ac:dyDescent="0.2">
      <c r="A293" s="4">
        <f t="shared" si="4"/>
        <v>292</v>
      </c>
      <c r="B293" s="4"/>
      <c r="C293" s="4"/>
      <c r="D293" s="4"/>
      <c r="E293" s="4"/>
      <c r="F293" s="6" t="s">
        <v>308</v>
      </c>
      <c r="G293" s="7">
        <v>66</v>
      </c>
      <c r="H293" s="8">
        <v>494</v>
      </c>
      <c r="I293" s="4" t="str">
        <f>VLOOKUP(H293,[1]policlin!B:C,2,1)</f>
        <v>CAP III MANTARO</v>
      </c>
      <c r="J293" s="7">
        <v>19860063</v>
      </c>
      <c r="K293" s="7" t="s">
        <v>8</v>
      </c>
    </row>
    <row r="294" spans="1:11" x14ac:dyDescent="0.2">
      <c r="A294" s="4">
        <f t="shared" si="4"/>
        <v>293</v>
      </c>
      <c r="B294" s="4"/>
      <c r="C294" s="4"/>
      <c r="D294" s="4"/>
      <c r="E294" s="4"/>
      <c r="F294" s="6" t="s">
        <v>309</v>
      </c>
      <c r="G294" s="7">
        <v>71</v>
      </c>
      <c r="H294" s="8">
        <v>494</v>
      </c>
      <c r="I294" s="4" t="str">
        <f>VLOOKUP(H294,[1]policlin!B:C,2,1)</f>
        <v>CAP III MANTARO</v>
      </c>
      <c r="J294" s="7">
        <v>19844293</v>
      </c>
      <c r="K294" s="7" t="s">
        <v>8</v>
      </c>
    </row>
    <row r="295" spans="1:11" x14ac:dyDescent="0.2">
      <c r="A295" s="4">
        <f t="shared" si="4"/>
        <v>294</v>
      </c>
      <c r="B295" s="4"/>
      <c r="C295" s="4"/>
      <c r="D295" s="4"/>
      <c r="E295" s="5">
        <v>46038</v>
      </c>
      <c r="F295" s="6" t="s">
        <v>310</v>
      </c>
      <c r="G295" s="7">
        <v>77</v>
      </c>
      <c r="H295" s="8">
        <v>431</v>
      </c>
      <c r="I295" s="4" t="str">
        <f>VLOOKUP(H295,[1]policlin!B:C,2,1)</f>
        <v>POLI. METROPOLITANO HUANCAYO</v>
      </c>
      <c r="J295" s="7">
        <v>20089480</v>
      </c>
      <c r="K295" s="7" t="s">
        <v>8</v>
      </c>
    </row>
    <row r="296" spans="1:11" x14ac:dyDescent="0.2">
      <c r="A296" s="4">
        <f t="shared" si="4"/>
        <v>295</v>
      </c>
      <c r="B296" s="4"/>
      <c r="C296" s="4"/>
      <c r="D296" s="4"/>
      <c r="E296" s="4"/>
      <c r="F296" s="6" t="s">
        <v>311</v>
      </c>
      <c r="G296" s="7">
        <v>66</v>
      </c>
      <c r="H296" s="8">
        <v>431</v>
      </c>
      <c r="I296" s="4" t="str">
        <f>VLOOKUP(H296,[1]policlin!B:C,2,1)</f>
        <v>POLI. METROPOLITANO HUANCAYO</v>
      </c>
      <c r="J296" s="7">
        <v>23275707</v>
      </c>
      <c r="K296" s="7" t="s">
        <v>8</v>
      </c>
    </row>
    <row r="297" spans="1:11" x14ac:dyDescent="0.2">
      <c r="A297" s="4">
        <f t="shared" si="4"/>
        <v>296</v>
      </c>
      <c r="B297" s="4"/>
      <c r="C297" s="4"/>
      <c r="D297" s="4"/>
      <c r="E297" s="4"/>
      <c r="F297" s="6" t="s">
        <v>312</v>
      </c>
      <c r="G297" s="7">
        <v>84</v>
      </c>
      <c r="H297" s="8">
        <v>494</v>
      </c>
      <c r="I297" s="4" t="str">
        <f>VLOOKUP(H297,[1]policlin!B:C,2,1)</f>
        <v>CAP III MANTARO</v>
      </c>
      <c r="J297" s="7">
        <v>19992773</v>
      </c>
      <c r="K297" s="7" t="s">
        <v>8</v>
      </c>
    </row>
    <row r="298" spans="1:11" x14ac:dyDescent="0.2">
      <c r="A298" s="4">
        <f t="shared" si="4"/>
        <v>297</v>
      </c>
      <c r="B298" s="4"/>
      <c r="C298" s="4"/>
      <c r="D298" s="4"/>
      <c r="E298" s="4"/>
      <c r="F298" s="6" t="s">
        <v>313</v>
      </c>
      <c r="G298" s="7">
        <v>71</v>
      </c>
      <c r="H298" s="8">
        <v>334</v>
      </c>
      <c r="I298" s="4" t="str">
        <f>VLOOKUP(H298,[1]policlin!B:C,2,1)</f>
        <v>HOSP. I OXAPAMPA</v>
      </c>
      <c r="J298" s="7">
        <v>4303693</v>
      </c>
      <c r="K298" s="7" t="s">
        <v>8</v>
      </c>
    </row>
    <row r="299" spans="1:11" x14ac:dyDescent="0.2">
      <c r="A299" s="4">
        <f t="shared" si="4"/>
        <v>298</v>
      </c>
      <c r="B299" s="4"/>
      <c r="C299" s="4"/>
      <c r="D299" s="4"/>
      <c r="E299" s="4"/>
      <c r="F299" s="6" t="s">
        <v>314</v>
      </c>
      <c r="G299" s="7">
        <v>84</v>
      </c>
      <c r="H299" s="8">
        <v>779</v>
      </c>
      <c r="I299" s="4" t="str">
        <f>VLOOKUP(H299,[1]policlin!B:C,2,1)</f>
        <v>UDR-SIS</v>
      </c>
      <c r="J299" s="7">
        <v>20645601</v>
      </c>
      <c r="K299" s="7" t="s">
        <v>8</v>
      </c>
    </row>
    <row r="300" spans="1:11" x14ac:dyDescent="0.2">
      <c r="A300" s="4">
        <f t="shared" si="4"/>
        <v>299</v>
      </c>
      <c r="B300" s="4"/>
      <c r="C300" s="4"/>
      <c r="D300" s="4"/>
      <c r="E300" s="4"/>
      <c r="F300" s="6" t="s">
        <v>315</v>
      </c>
      <c r="G300" s="7">
        <v>67</v>
      </c>
      <c r="H300" s="8">
        <v>431</v>
      </c>
      <c r="I300" s="4" t="str">
        <f>VLOOKUP(H300,[1]policlin!B:C,2,1)</f>
        <v>POLI. METROPOLITANO HUANCAYO</v>
      </c>
      <c r="J300" s="7">
        <v>19811396</v>
      </c>
      <c r="K300" s="7" t="s">
        <v>8</v>
      </c>
    </row>
    <row r="301" spans="1:11" x14ac:dyDescent="0.2">
      <c r="A301" s="4">
        <f t="shared" si="4"/>
        <v>300</v>
      </c>
      <c r="B301" s="4"/>
      <c r="C301" s="4"/>
      <c r="D301" s="4"/>
      <c r="E301" s="4"/>
      <c r="F301" s="6" t="s">
        <v>316</v>
      </c>
      <c r="G301" s="7">
        <v>72</v>
      </c>
      <c r="H301" s="8">
        <v>494</v>
      </c>
      <c r="I301" s="4" t="str">
        <f>VLOOKUP(H301,[1]policlin!B:C,2,1)</f>
        <v>CAP III MANTARO</v>
      </c>
      <c r="J301" s="7">
        <v>19858189</v>
      </c>
      <c r="K301" s="7" t="s">
        <v>8</v>
      </c>
    </row>
    <row r="302" spans="1:11" x14ac:dyDescent="0.2">
      <c r="A302" s="4">
        <f t="shared" si="4"/>
        <v>301</v>
      </c>
      <c r="B302" s="4"/>
      <c r="C302" s="4"/>
      <c r="D302" s="4"/>
      <c r="E302" s="4"/>
      <c r="F302" s="6" t="s">
        <v>317</v>
      </c>
      <c r="G302" s="7">
        <v>59</v>
      </c>
      <c r="H302" s="8">
        <v>313</v>
      </c>
      <c r="I302" s="4" t="str">
        <f>VLOOKUP(H302,[1]policlin!B:C,2,1)</f>
        <v>HOSP.SELVA CENTRAL -LA MERCED</v>
      </c>
      <c r="J302" s="7">
        <v>20566487</v>
      </c>
      <c r="K302" s="7" t="s">
        <v>8</v>
      </c>
    </row>
    <row r="303" spans="1:11" x14ac:dyDescent="0.2">
      <c r="A303" s="4">
        <f t="shared" si="4"/>
        <v>302</v>
      </c>
      <c r="B303" s="4"/>
      <c r="C303" s="4"/>
      <c r="D303" s="4"/>
      <c r="E303" s="4"/>
      <c r="F303" s="6" t="s">
        <v>318</v>
      </c>
      <c r="G303" s="7">
        <v>70</v>
      </c>
      <c r="H303" s="8">
        <v>308</v>
      </c>
      <c r="I303" s="4" t="str">
        <f>VLOOKUP(H303,[1]policlin!B:C,2,1)</f>
        <v>HOSP. II LA OROYA</v>
      </c>
      <c r="J303" s="7">
        <v>19922687</v>
      </c>
      <c r="K303" s="7" t="s">
        <v>8</v>
      </c>
    </row>
    <row r="304" spans="1:11" x14ac:dyDescent="0.2">
      <c r="A304" s="4">
        <f t="shared" si="4"/>
        <v>303</v>
      </c>
      <c r="B304" s="4"/>
      <c r="C304" s="4"/>
      <c r="D304" s="4"/>
      <c r="E304" s="4"/>
      <c r="F304" s="6" t="s">
        <v>319</v>
      </c>
      <c r="G304" s="7">
        <v>78</v>
      </c>
      <c r="H304" s="8">
        <v>494</v>
      </c>
      <c r="I304" s="4" t="str">
        <f>VLOOKUP(H304,[1]policlin!B:C,2,1)</f>
        <v>CAP III MANTARO</v>
      </c>
      <c r="J304" s="7">
        <v>19822041</v>
      </c>
      <c r="K304" s="7" t="s">
        <v>8</v>
      </c>
    </row>
    <row r="305" spans="1:11" x14ac:dyDescent="0.2">
      <c r="A305" s="4">
        <f t="shared" si="4"/>
        <v>304</v>
      </c>
      <c r="B305" s="4"/>
      <c r="C305" s="4"/>
      <c r="D305" s="4"/>
      <c r="E305" s="4"/>
      <c r="F305" s="6" t="s">
        <v>320</v>
      </c>
      <c r="G305" s="7">
        <v>83</v>
      </c>
      <c r="H305" s="8">
        <v>454</v>
      </c>
      <c r="I305" s="4" t="str">
        <f>VLOOKUP(H305,[1]policlin!B:C,2,1)</f>
        <v>CAP II CHILCA</v>
      </c>
      <c r="J305" s="7">
        <v>19907899</v>
      </c>
      <c r="K305" s="7" t="s">
        <v>8</v>
      </c>
    </row>
    <row r="306" spans="1:11" x14ac:dyDescent="0.2">
      <c r="A306" s="4">
        <f t="shared" si="4"/>
        <v>305</v>
      </c>
      <c r="B306" s="4"/>
      <c r="C306" s="4"/>
      <c r="D306" s="4"/>
      <c r="E306" s="4"/>
      <c r="F306" s="6" t="s">
        <v>321</v>
      </c>
      <c r="G306" s="7">
        <v>91</v>
      </c>
      <c r="H306" s="8">
        <v>494</v>
      </c>
      <c r="I306" s="4" t="str">
        <f>VLOOKUP(H306,[1]policlin!B:C,2,1)</f>
        <v>CAP III MANTARO</v>
      </c>
      <c r="J306" s="7">
        <v>19830856</v>
      </c>
      <c r="K306" s="7" t="s">
        <v>8</v>
      </c>
    </row>
    <row r="307" spans="1:11" x14ac:dyDescent="0.2">
      <c r="A307" s="4">
        <f t="shared" si="4"/>
        <v>306</v>
      </c>
      <c r="B307" s="4"/>
      <c r="C307" s="4"/>
      <c r="D307" s="4"/>
      <c r="E307" s="4"/>
      <c r="F307" s="6" t="s">
        <v>322</v>
      </c>
      <c r="G307" s="7">
        <v>79</v>
      </c>
      <c r="H307" s="8">
        <v>454</v>
      </c>
      <c r="I307" s="4" t="str">
        <f>VLOOKUP(H307,[1]policlin!B:C,2,1)</f>
        <v>CAP II CHILCA</v>
      </c>
      <c r="J307" s="7">
        <v>19886817</v>
      </c>
      <c r="K307" s="7" t="s">
        <v>8</v>
      </c>
    </row>
    <row r="308" spans="1:11" x14ac:dyDescent="0.2">
      <c r="A308" s="4">
        <f t="shared" si="4"/>
        <v>307</v>
      </c>
      <c r="B308" s="4"/>
      <c r="C308" s="4"/>
      <c r="D308" s="4"/>
      <c r="E308" s="4"/>
      <c r="F308" s="6" t="s">
        <v>323</v>
      </c>
      <c r="G308" s="7">
        <v>69</v>
      </c>
      <c r="H308" s="8">
        <v>431</v>
      </c>
      <c r="I308" s="4" t="str">
        <f>VLOOKUP(H308,[1]policlin!B:C,2,1)</f>
        <v>POLI. METROPOLITANO HUANCAYO</v>
      </c>
      <c r="J308" s="7">
        <v>21078418</v>
      </c>
      <c r="K308" s="7" t="s">
        <v>8</v>
      </c>
    </row>
    <row r="309" spans="1:11" x14ac:dyDescent="0.2">
      <c r="A309" s="4">
        <f t="shared" si="4"/>
        <v>308</v>
      </c>
      <c r="B309" s="4"/>
      <c r="C309" s="4"/>
      <c r="D309" s="4"/>
      <c r="E309" s="4"/>
      <c r="F309" s="6" t="s">
        <v>324</v>
      </c>
      <c r="G309" s="7">
        <v>80</v>
      </c>
      <c r="H309" s="8">
        <v>431</v>
      </c>
      <c r="I309" s="4" t="str">
        <f>VLOOKUP(H309,[1]policlin!B:C,2,1)</f>
        <v>POLI. METROPOLITANO HUANCAYO</v>
      </c>
      <c r="J309" s="7">
        <v>19901679</v>
      </c>
      <c r="K309" s="7" t="s">
        <v>8</v>
      </c>
    </row>
    <row r="310" spans="1:11" x14ac:dyDescent="0.2">
      <c r="A310" s="4">
        <f t="shared" si="4"/>
        <v>309</v>
      </c>
      <c r="B310" s="4"/>
      <c r="C310" s="4"/>
      <c r="D310" s="4"/>
      <c r="E310" s="4"/>
      <c r="F310" s="6" t="s">
        <v>325</v>
      </c>
      <c r="G310" s="7">
        <v>48</v>
      </c>
      <c r="H310" s="8">
        <v>308</v>
      </c>
      <c r="I310" s="4" t="str">
        <f>VLOOKUP(H310,[1]policlin!B:C,2,1)</f>
        <v>HOSP. II LA OROYA</v>
      </c>
      <c r="J310" s="7">
        <v>21274441</v>
      </c>
      <c r="K310" s="7" t="s">
        <v>8</v>
      </c>
    </row>
    <row r="311" spans="1:11" x14ac:dyDescent="0.2">
      <c r="A311" s="4">
        <f t="shared" si="4"/>
        <v>310</v>
      </c>
      <c r="B311" s="4"/>
      <c r="C311" s="4"/>
      <c r="D311" s="4"/>
      <c r="E311" s="5">
        <v>46038</v>
      </c>
      <c r="F311" s="6" t="s">
        <v>326</v>
      </c>
      <c r="G311" s="7">
        <v>87</v>
      </c>
      <c r="H311" s="8">
        <v>454</v>
      </c>
      <c r="I311" s="4" t="str">
        <f>VLOOKUP(H311,[1]policlin!B:C,2,1)</f>
        <v>CAP II CHILCA</v>
      </c>
      <c r="J311" s="7">
        <v>20437271</v>
      </c>
      <c r="K311" s="7" t="s">
        <v>8</v>
      </c>
    </row>
    <row r="312" spans="1:11" x14ac:dyDescent="0.2">
      <c r="A312" s="4">
        <f t="shared" si="4"/>
        <v>311</v>
      </c>
      <c r="B312" s="4"/>
      <c r="C312" s="4"/>
      <c r="D312" s="4"/>
      <c r="E312" s="4"/>
      <c r="F312" s="6" t="s">
        <v>327</v>
      </c>
      <c r="G312" s="7">
        <v>89</v>
      </c>
      <c r="H312" s="8">
        <v>494</v>
      </c>
      <c r="I312" s="4" t="str">
        <f>VLOOKUP(H312,[1]policlin!B:C,2,1)</f>
        <v>CAP III MANTARO</v>
      </c>
      <c r="J312" s="7">
        <v>19811894</v>
      </c>
      <c r="K312" s="7" t="s">
        <v>8</v>
      </c>
    </row>
    <row r="313" spans="1:11" x14ac:dyDescent="0.2">
      <c r="A313" s="4">
        <f t="shared" si="4"/>
        <v>312</v>
      </c>
      <c r="B313" s="4"/>
      <c r="C313" s="4"/>
      <c r="D313" s="4"/>
      <c r="E313" s="4"/>
      <c r="F313" s="6" t="s">
        <v>328</v>
      </c>
      <c r="G313" s="7">
        <v>69</v>
      </c>
      <c r="H313" s="8">
        <v>431</v>
      </c>
      <c r="I313" s="4" t="str">
        <f>VLOOKUP(H313,[1]policlin!B:C,2,1)</f>
        <v>POLI. METROPOLITANO HUANCAYO</v>
      </c>
      <c r="J313" s="7">
        <v>19979492</v>
      </c>
      <c r="K313" s="7" t="s">
        <v>8</v>
      </c>
    </row>
    <row r="314" spans="1:11" x14ac:dyDescent="0.2">
      <c r="A314" s="4">
        <f t="shared" si="4"/>
        <v>313</v>
      </c>
      <c r="B314" s="4"/>
      <c r="C314" s="4"/>
      <c r="D314" s="4"/>
      <c r="E314" s="4"/>
      <c r="F314" s="6" t="s">
        <v>329</v>
      </c>
      <c r="G314" s="7">
        <v>92</v>
      </c>
      <c r="H314" s="8">
        <v>312</v>
      </c>
      <c r="I314" s="4" t="str">
        <f>VLOOKUP(H314,[1]policlin!B:C,2,1)</f>
        <v>C. M. CONCEPCION</v>
      </c>
      <c r="J314" s="7">
        <v>20438138</v>
      </c>
      <c r="K314" s="7" t="s">
        <v>8</v>
      </c>
    </row>
    <row r="315" spans="1:11" x14ac:dyDescent="0.2">
      <c r="A315" s="4">
        <f t="shared" si="4"/>
        <v>314</v>
      </c>
      <c r="B315" s="4"/>
      <c r="C315" s="4"/>
      <c r="D315" s="4"/>
      <c r="E315" s="4"/>
      <c r="F315" s="6" t="s">
        <v>330</v>
      </c>
      <c r="G315" s="7">
        <v>76</v>
      </c>
      <c r="H315" s="8">
        <v>431</v>
      </c>
      <c r="I315" s="4" t="str">
        <f>VLOOKUP(H315,[1]policlin!B:C,2,1)</f>
        <v>POLI. METROPOLITANO HUANCAYO</v>
      </c>
      <c r="J315" s="7">
        <v>21240065</v>
      </c>
      <c r="K315" s="7" t="s">
        <v>8</v>
      </c>
    </row>
    <row r="316" spans="1:11" x14ac:dyDescent="0.2">
      <c r="A316" s="4">
        <f t="shared" si="4"/>
        <v>315</v>
      </c>
      <c r="B316" s="4"/>
      <c r="C316" s="4"/>
      <c r="D316" s="4"/>
      <c r="E316" s="5">
        <v>46066</v>
      </c>
      <c r="F316" s="6" t="s">
        <v>331</v>
      </c>
      <c r="G316" s="7">
        <v>92</v>
      </c>
      <c r="H316" s="8">
        <v>431</v>
      </c>
      <c r="I316" s="4" t="str">
        <f>VLOOKUP(H316,[1]policlin!B:C,2,1)</f>
        <v>POLI. METROPOLITANO HUANCAYO</v>
      </c>
      <c r="J316" s="7">
        <v>19801297</v>
      </c>
      <c r="K316" s="7" t="s">
        <v>8</v>
      </c>
    </row>
    <row r="317" spans="1:11" x14ac:dyDescent="0.2">
      <c r="A317" s="4">
        <f t="shared" si="4"/>
        <v>316</v>
      </c>
      <c r="B317" s="4"/>
      <c r="C317" s="4"/>
      <c r="D317" s="4"/>
      <c r="E317" s="4"/>
      <c r="F317" s="6" t="s">
        <v>332</v>
      </c>
      <c r="G317" s="7">
        <v>77</v>
      </c>
      <c r="H317" s="8">
        <v>779</v>
      </c>
      <c r="I317" s="4" t="str">
        <f>VLOOKUP(H317,[1]policlin!B:C,2,1)</f>
        <v>UDR-SIS</v>
      </c>
      <c r="J317" s="7">
        <v>20640593</v>
      </c>
      <c r="K317" s="7" t="s">
        <v>8</v>
      </c>
    </row>
    <row r="318" spans="1:11" x14ac:dyDescent="0.2">
      <c r="A318" s="4">
        <f t="shared" si="4"/>
        <v>317</v>
      </c>
      <c r="B318" s="4"/>
      <c r="C318" s="4"/>
      <c r="D318" s="4"/>
      <c r="E318" s="5">
        <v>46066</v>
      </c>
      <c r="F318" s="6" t="s">
        <v>333</v>
      </c>
      <c r="G318" s="7">
        <v>82</v>
      </c>
      <c r="H318" s="8">
        <v>311</v>
      </c>
      <c r="I318" s="4" t="str">
        <f>VLOOKUP(H318,[1]policlin!B:C,2,1)</f>
        <v>POLI. JAUJA</v>
      </c>
      <c r="J318" s="7">
        <v>21243809</v>
      </c>
      <c r="K318" s="7" t="s">
        <v>8</v>
      </c>
    </row>
    <row r="319" spans="1:11" x14ac:dyDescent="0.2">
      <c r="A319" s="4">
        <f t="shared" si="4"/>
        <v>318</v>
      </c>
      <c r="B319" s="4"/>
      <c r="C319" s="4"/>
      <c r="D319" s="4"/>
      <c r="E319" s="4"/>
      <c r="F319" s="6" t="s">
        <v>334</v>
      </c>
      <c r="G319" s="7">
        <v>76</v>
      </c>
      <c r="H319" s="8">
        <v>494</v>
      </c>
      <c r="I319" s="4" t="str">
        <f>VLOOKUP(H319,[1]policlin!B:C,2,1)</f>
        <v>CAP III MANTARO</v>
      </c>
      <c r="J319" s="7">
        <v>19830266</v>
      </c>
      <c r="K319" s="7" t="s">
        <v>8</v>
      </c>
    </row>
    <row r="320" spans="1:11" x14ac:dyDescent="0.2">
      <c r="A320" s="4">
        <f t="shared" si="4"/>
        <v>319</v>
      </c>
      <c r="B320" s="4"/>
      <c r="C320" s="4"/>
      <c r="D320" s="4"/>
      <c r="E320" s="4"/>
      <c r="F320" s="6" t="s">
        <v>335</v>
      </c>
      <c r="G320" s="7">
        <v>74</v>
      </c>
      <c r="H320" s="8">
        <v>494</v>
      </c>
      <c r="I320" s="4" t="str">
        <f>VLOOKUP(H320,[1]policlin!B:C,2,1)</f>
        <v>CAP III MANTARO</v>
      </c>
      <c r="J320" s="7">
        <v>19837020</v>
      </c>
      <c r="K320" s="7" t="s">
        <v>8</v>
      </c>
    </row>
    <row r="321" spans="1:11" x14ac:dyDescent="0.2">
      <c r="A321" s="4">
        <f t="shared" si="4"/>
        <v>320</v>
      </c>
      <c r="B321" s="4"/>
      <c r="C321" s="4"/>
      <c r="D321" s="4"/>
      <c r="E321" s="4"/>
      <c r="F321" s="6" t="s">
        <v>336</v>
      </c>
      <c r="G321" s="7">
        <v>76</v>
      </c>
      <c r="H321" s="8">
        <v>494</v>
      </c>
      <c r="I321" s="4" t="str">
        <f>VLOOKUP(H321,[1]policlin!B:C,2,1)</f>
        <v>CAP III MANTARO</v>
      </c>
      <c r="J321" s="7">
        <v>19810212</v>
      </c>
      <c r="K321" s="7" t="s">
        <v>8</v>
      </c>
    </row>
    <row r="322" spans="1:11" x14ac:dyDescent="0.2">
      <c r="A322" s="4">
        <f t="shared" si="4"/>
        <v>321</v>
      </c>
      <c r="B322" s="4"/>
      <c r="C322" s="4"/>
      <c r="D322" s="4"/>
      <c r="E322" s="4"/>
      <c r="F322" s="6" t="s">
        <v>337</v>
      </c>
      <c r="G322" s="7">
        <v>53</v>
      </c>
      <c r="H322" s="8">
        <v>454</v>
      </c>
      <c r="I322" s="4" t="str">
        <f>VLOOKUP(H322,[1]policlin!B:C,2,1)</f>
        <v>CAP II CHILCA</v>
      </c>
      <c r="J322" s="7">
        <v>19895647</v>
      </c>
      <c r="K322" s="7" t="s">
        <v>8</v>
      </c>
    </row>
    <row r="323" spans="1:11" x14ac:dyDescent="0.2">
      <c r="A323" s="4">
        <f t="shared" si="4"/>
        <v>322</v>
      </c>
      <c r="B323" s="4"/>
      <c r="C323" s="4"/>
      <c r="D323" s="4"/>
      <c r="E323" s="4"/>
      <c r="F323" s="6" t="s">
        <v>338</v>
      </c>
      <c r="G323" s="7">
        <v>87</v>
      </c>
      <c r="H323" s="8">
        <v>494</v>
      </c>
      <c r="I323" s="4" t="str">
        <f>VLOOKUP(H323,[1]policlin!B:C,2,1)</f>
        <v>CAP III MANTARO</v>
      </c>
      <c r="J323" s="7">
        <v>21257318</v>
      </c>
      <c r="K323" s="7" t="s">
        <v>8</v>
      </c>
    </row>
    <row r="324" spans="1:11" x14ac:dyDescent="0.2">
      <c r="A324" s="4">
        <f t="shared" ref="A324:A375" si="5">SUM(1+A323)</f>
        <v>323</v>
      </c>
      <c r="B324" s="4"/>
      <c r="C324" s="4"/>
      <c r="D324" s="4"/>
      <c r="E324" s="4"/>
      <c r="F324" s="6" t="s">
        <v>339</v>
      </c>
      <c r="G324" s="7">
        <v>83</v>
      </c>
      <c r="H324" s="8">
        <v>454</v>
      </c>
      <c r="I324" s="4" t="str">
        <f>VLOOKUP(H324,[1]policlin!B:C,2,1)</f>
        <v>CAP II CHILCA</v>
      </c>
      <c r="J324" s="7">
        <v>19880395</v>
      </c>
      <c r="K324" s="7" t="s">
        <v>8</v>
      </c>
    </row>
    <row r="325" spans="1:11" x14ac:dyDescent="0.2">
      <c r="A325" s="4">
        <f t="shared" si="5"/>
        <v>324</v>
      </c>
      <c r="B325" s="4"/>
      <c r="C325" s="4"/>
      <c r="D325" s="4"/>
      <c r="E325" s="4"/>
      <c r="F325" s="6" t="s">
        <v>340</v>
      </c>
      <c r="G325" s="7">
        <v>75</v>
      </c>
      <c r="H325" s="8">
        <v>431</v>
      </c>
      <c r="I325" s="4" t="str">
        <f>VLOOKUP(H325,[1]policlin!B:C,2,1)</f>
        <v>POLI. METROPOLITANO HUANCAYO</v>
      </c>
      <c r="J325" s="7">
        <v>15217545</v>
      </c>
      <c r="K325" s="7" t="s">
        <v>8</v>
      </c>
    </row>
    <row r="326" spans="1:11" x14ac:dyDescent="0.2">
      <c r="A326" s="4">
        <f t="shared" si="5"/>
        <v>325</v>
      </c>
      <c r="B326" s="4"/>
      <c r="C326" s="4"/>
      <c r="D326" s="4"/>
      <c r="E326" s="4"/>
      <c r="F326" s="6" t="s">
        <v>341</v>
      </c>
      <c r="G326" s="7">
        <v>81</v>
      </c>
      <c r="H326" s="8">
        <v>504</v>
      </c>
      <c r="I326" s="4" t="str">
        <f>VLOOKUP(H326,[1]policlin!B:C,2,1)</f>
        <v>CAP II CHUPACA</v>
      </c>
      <c r="J326" s="7">
        <v>19905768</v>
      </c>
      <c r="K326" s="7" t="s">
        <v>8</v>
      </c>
    </row>
    <row r="327" spans="1:11" x14ac:dyDescent="0.2">
      <c r="A327" s="4">
        <f t="shared" si="5"/>
        <v>326</v>
      </c>
      <c r="B327" s="4"/>
      <c r="C327" s="4"/>
      <c r="D327" s="4"/>
      <c r="E327" s="4"/>
      <c r="F327" s="6" t="s">
        <v>342</v>
      </c>
      <c r="G327" s="7">
        <v>74</v>
      </c>
      <c r="H327" s="8">
        <v>334</v>
      </c>
      <c r="I327" s="4" t="str">
        <f>VLOOKUP(H327,[1]policlin!B:C,2,1)</f>
        <v>HOSP. I OXAPAMPA</v>
      </c>
      <c r="J327" s="7">
        <v>4303267</v>
      </c>
      <c r="K327" s="7" t="s">
        <v>8</v>
      </c>
    </row>
    <row r="328" spans="1:11" x14ac:dyDescent="0.2">
      <c r="A328" s="4">
        <f t="shared" si="5"/>
        <v>327</v>
      </c>
      <c r="B328" s="4"/>
      <c r="C328" s="4"/>
      <c r="D328" s="4"/>
      <c r="E328" s="4"/>
      <c r="F328" s="6" t="s">
        <v>343</v>
      </c>
      <c r="G328" s="7">
        <v>82</v>
      </c>
      <c r="H328" s="8">
        <v>431</v>
      </c>
      <c r="I328" s="4" t="str">
        <f>VLOOKUP(H328,[1]policlin!B:C,2,1)</f>
        <v>POLI. METROPOLITANO HUANCAYO</v>
      </c>
      <c r="J328" s="7">
        <v>23643434</v>
      </c>
      <c r="K328" s="7" t="s">
        <v>8</v>
      </c>
    </row>
    <row r="329" spans="1:11" x14ac:dyDescent="0.2">
      <c r="A329" s="4">
        <f t="shared" si="5"/>
        <v>328</v>
      </c>
      <c r="B329" s="4"/>
      <c r="C329" s="4"/>
      <c r="D329" s="4"/>
      <c r="E329" s="4"/>
      <c r="F329" s="6" t="s">
        <v>344</v>
      </c>
      <c r="G329" s="7">
        <v>68</v>
      </c>
      <c r="H329" s="8">
        <v>431</v>
      </c>
      <c r="I329" s="4" t="str">
        <f>VLOOKUP(H329,[1]policlin!B:C,2,1)</f>
        <v>POLI. METROPOLITANO HUANCAYO</v>
      </c>
      <c r="J329" s="7">
        <v>8013370</v>
      </c>
      <c r="K329" s="7" t="s">
        <v>8</v>
      </c>
    </row>
    <row r="330" spans="1:11" x14ac:dyDescent="0.2">
      <c r="A330" s="4">
        <f t="shared" si="5"/>
        <v>329</v>
      </c>
      <c r="B330" s="4"/>
      <c r="C330" s="4"/>
      <c r="D330" s="4"/>
      <c r="E330" s="4"/>
      <c r="F330" s="6" t="s">
        <v>345</v>
      </c>
      <c r="G330" s="7">
        <v>86</v>
      </c>
      <c r="H330" s="8">
        <v>494</v>
      </c>
      <c r="I330" s="4" t="str">
        <f>VLOOKUP(H330,[1]policlin!B:C,2,1)</f>
        <v>CAP III MANTARO</v>
      </c>
      <c r="J330" s="7">
        <v>21076583</v>
      </c>
      <c r="K330" s="7" t="s">
        <v>8</v>
      </c>
    </row>
    <row r="331" spans="1:11" x14ac:dyDescent="0.2">
      <c r="A331" s="4">
        <f t="shared" si="5"/>
        <v>330</v>
      </c>
      <c r="B331" s="4"/>
      <c r="C331" s="4"/>
      <c r="D331" s="4"/>
      <c r="E331" s="4"/>
      <c r="F331" s="6" t="s">
        <v>346</v>
      </c>
      <c r="G331" s="7">
        <v>86</v>
      </c>
      <c r="H331" s="8">
        <v>431</v>
      </c>
      <c r="I331" s="4" t="str">
        <f>VLOOKUP(H331,[1]policlin!B:C,2,1)</f>
        <v>POLI. METROPOLITANO HUANCAYO</v>
      </c>
      <c r="J331" s="7">
        <v>19927502</v>
      </c>
      <c r="K331" s="7" t="s">
        <v>8</v>
      </c>
    </row>
    <row r="332" spans="1:11" x14ac:dyDescent="0.2">
      <c r="A332" s="4">
        <f t="shared" si="5"/>
        <v>331</v>
      </c>
      <c r="B332" s="4"/>
      <c r="C332" s="4"/>
      <c r="D332" s="4"/>
      <c r="E332" s="4"/>
      <c r="F332" s="6" t="s">
        <v>347</v>
      </c>
      <c r="G332" s="7">
        <v>64</v>
      </c>
      <c r="H332" s="8">
        <v>494</v>
      </c>
      <c r="I332" s="4" t="str">
        <f>VLOOKUP(H332,[1]policlin!B:C,2,1)</f>
        <v>CAP III MANTARO</v>
      </c>
      <c r="J332" s="7">
        <v>19857415</v>
      </c>
      <c r="K332" s="7" t="s">
        <v>8</v>
      </c>
    </row>
    <row r="333" spans="1:11" x14ac:dyDescent="0.2">
      <c r="A333" s="4">
        <f t="shared" si="5"/>
        <v>332</v>
      </c>
      <c r="B333" s="4"/>
      <c r="C333" s="4"/>
      <c r="D333" s="4"/>
      <c r="E333" s="4"/>
      <c r="F333" s="6" t="s">
        <v>348</v>
      </c>
      <c r="G333" s="7">
        <v>90</v>
      </c>
      <c r="H333" s="8">
        <v>454</v>
      </c>
      <c r="I333" s="4" t="str">
        <f>VLOOKUP(H333,[1]policlin!B:C,2,1)</f>
        <v>CAP II CHILCA</v>
      </c>
      <c r="J333" s="7">
        <v>19978752</v>
      </c>
      <c r="K333" s="7" t="s">
        <v>8</v>
      </c>
    </row>
    <row r="334" spans="1:11" x14ac:dyDescent="0.2">
      <c r="A334" s="4">
        <f t="shared" si="5"/>
        <v>333</v>
      </c>
      <c r="B334" s="4"/>
      <c r="C334" s="4"/>
      <c r="D334" s="4"/>
      <c r="E334" s="4"/>
      <c r="F334" s="6" t="s">
        <v>349</v>
      </c>
      <c r="G334" s="7">
        <v>81</v>
      </c>
      <c r="H334" s="8">
        <v>431</v>
      </c>
      <c r="I334" s="4" t="str">
        <f>VLOOKUP(H334,[1]policlin!B:C,2,1)</f>
        <v>POLI. METROPOLITANO HUANCAYO</v>
      </c>
      <c r="J334" s="7">
        <v>19803612</v>
      </c>
      <c r="K334" s="7" t="s">
        <v>8</v>
      </c>
    </row>
    <row r="335" spans="1:11" x14ac:dyDescent="0.2">
      <c r="A335" s="4">
        <f t="shared" si="5"/>
        <v>334</v>
      </c>
      <c r="B335" s="4"/>
      <c r="C335" s="4"/>
      <c r="D335" s="4"/>
      <c r="E335" s="4"/>
      <c r="F335" s="6" t="s">
        <v>350</v>
      </c>
      <c r="G335" s="7">
        <v>84</v>
      </c>
      <c r="H335" s="8">
        <v>431</v>
      </c>
      <c r="I335" s="4" t="str">
        <f>VLOOKUP(H335,[1]policlin!B:C,2,1)</f>
        <v>POLI. METROPOLITANO HUANCAYO</v>
      </c>
      <c r="J335" s="7">
        <v>19920582</v>
      </c>
      <c r="K335" s="7" t="s">
        <v>8</v>
      </c>
    </row>
    <row r="336" spans="1:11" x14ac:dyDescent="0.2">
      <c r="A336" s="4">
        <f t="shared" si="5"/>
        <v>335</v>
      </c>
      <c r="B336" s="4"/>
      <c r="C336" s="4"/>
      <c r="D336" s="4"/>
      <c r="E336" s="4"/>
      <c r="F336" s="6" t="s">
        <v>351</v>
      </c>
      <c r="G336" s="7">
        <v>68</v>
      </c>
      <c r="H336" s="8">
        <v>312</v>
      </c>
      <c r="I336" s="4" t="str">
        <f>VLOOKUP(H336,[1]policlin!B:C,2,1)</f>
        <v>C. M. CONCEPCION</v>
      </c>
      <c r="J336" s="7">
        <v>20405295</v>
      </c>
      <c r="K336" s="7" t="s">
        <v>8</v>
      </c>
    </row>
    <row r="337" spans="1:11" x14ac:dyDescent="0.2">
      <c r="A337" s="4">
        <f t="shared" si="5"/>
        <v>336</v>
      </c>
      <c r="B337" s="4"/>
      <c r="C337" s="4"/>
      <c r="D337" s="4"/>
      <c r="E337" s="4"/>
      <c r="F337" s="6" t="s">
        <v>352</v>
      </c>
      <c r="G337" s="7">
        <v>75</v>
      </c>
      <c r="H337" s="8">
        <v>494</v>
      </c>
      <c r="I337" s="4" t="str">
        <f>VLOOKUP(H337,[1]policlin!B:C,2,1)</f>
        <v>CAP III MANTARO</v>
      </c>
      <c r="J337" s="7">
        <v>19821023</v>
      </c>
      <c r="K337" s="7" t="s">
        <v>8</v>
      </c>
    </row>
    <row r="338" spans="1:11" x14ac:dyDescent="0.2">
      <c r="A338" s="4">
        <f t="shared" si="5"/>
        <v>337</v>
      </c>
      <c r="B338" s="4"/>
      <c r="C338" s="4"/>
      <c r="D338" s="4"/>
      <c r="E338" s="4"/>
      <c r="F338" s="6" t="s">
        <v>353</v>
      </c>
      <c r="G338" s="7">
        <v>74</v>
      </c>
      <c r="H338" s="8">
        <v>308</v>
      </c>
      <c r="I338" s="4" t="str">
        <f>VLOOKUP(H338,[1]policlin!B:C,2,1)</f>
        <v>HOSP. II LA OROYA</v>
      </c>
      <c r="J338" s="7">
        <v>21091216</v>
      </c>
      <c r="K338" s="7" t="s">
        <v>8</v>
      </c>
    </row>
    <row r="339" spans="1:11" x14ac:dyDescent="0.2">
      <c r="A339" s="4">
        <f t="shared" si="5"/>
        <v>338</v>
      </c>
      <c r="B339" s="4"/>
      <c r="C339" s="4"/>
      <c r="D339" s="4"/>
      <c r="E339" s="4"/>
      <c r="F339" s="6" t="s">
        <v>354</v>
      </c>
      <c r="G339" s="7">
        <v>73</v>
      </c>
      <c r="H339" s="8">
        <v>431</v>
      </c>
      <c r="I339" s="4" t="str">
        <f>VLOOKUP(H339,[1]policlin!B:C,2,1)</f>
        <v>POLI. METROPOLITANO HUANCAYO</v>
      </c>
      <c r="J339" s="7">
        <v>19920615</v>
      </c>
      <c r="K339" s="7" t="s">
        <v>8</v>
      </c>
    </row>
    <row r="340" spans="1:11" x14ac:dyDescent="0.2">
      <c r="A340" s="4">
        <f t="shared" si="5"/>
        <v>339</v>
      </c>
      <c r="B340" s="4"/>
      <c r="C340" s="4"/>
      <c r="D340" s="4"/>
      <c r="E340" s="4"/>
      <c r="F340" s="6" t="s">
        <v>355</v>
      </c>
      <c r="G340" s="7">
        <v>75</v>
      </c>
      <c r="H340" s="8">
        <v>454</v>
      </c>
      <c r="I340" s="4" t="str">
        <f>VLOOKUP(H340,[1]policlin!B:C,2,1)</f>
        <v>CAP II CHILCA</v>
      </c>
      <c r="J340" s="7">
        <v>19876887</v>
      </c>
      <c r="K340" s="7" t="s">
        <v>8</v>
      </c>
    </row>
    <row r="341" spans="1:11" x14ac:dyDescent="0.2">
      <c r="A341" s="4">
        <f t="shared" si="5"/>
        <v>340</v>
      </c>
      <c r="B341" s="4"/>
      <c r="C341" s="4"/>
      <c r="D341" s="4"/>
      <c r="E341" s="4"/>
      <c r="F341" s="6" t="s">
        <v>356</v>
      </c>
      <c r="G341" s="7">
        <v>73</v>
      </c>
      <c r="H341" s="8">
        <v>454</v>
      </c>
      <c r="I341" s="4" t="str">
        <f>VLOOKUP(H341,[1]policlin!B:C,2,1)</f>
        <v>CAP II CHILCA</v>
      </c>
      <c r="J341" s="7">
        <v>19876844</v>
      </c>
      <c r="K341" s="7" t="s">
        <v>8</v>
      </c>
    </row>
    <row r="342" spans="1:11" x14ac:dyDescent="0.2">
      <c r="A342" s="4">
        <f t="shared" si="5"/>
        <v>341</v>
      </c>
      <c r="B342" s="4"/>
      <c r="C342" s="4"/>
      <c r="D342" s="4"/>
      <c r="E342" s="4"/>
      <c r="F342" s="6" t="s">
        <v>357</v>
      </c>
      <c r="G342" s="7">
        <v>70</v>
      </c>
      <c r="H342" s="8">
        <v>431</v>
      </c>
      <c r="I342" s="4" t="str">
        <f>VLOOKUP(H342,[1]policlin!B:C,2,1)</f>
        <v>POLI. METROPOLITANO HUANCAYO</v>
      </c>
      <c r="J342" s="7">
        <v>19913215</v>
      </c>
      <c r="K342" s="7" t="s">
        <v>8</v>
      </c>
    </row>
    <row r="343" spans="1:11" x14ac:dyDescent="0.2">
      <c r="A343" s="4">
        <f t="shared" si="5"/>
        <v>342</v>
      </c>
      <c r="B343" s="4"/>
      <c r="C343" s="4"/>
      <c r="D343" s="4"/>
      <c r="E343" s="4"/>
      <c r="F343" s="6" t="s">
        <v>358</v>
      </c>
      <c r="G343" s="7">
        <v>55</v>
      </c>
      <c r="H343" s="8">
        <v>504</v>
      </c>
      <c r="I343" s="4" t="str">
        <f>VLOOKUP(H343,[1]policlin!B:C,2,1)</f>
        <v>CAP II CHUPACA</v>
      </c>
      <c r="J343" s="7">
        <v>20041159</v>
      </c>
      <c r="K343" s="7" t="s">
        <v>8</v>
      </c>
    </row>
    <row r="344" spans="1:11" x14ac:dyDescent="0.2">
      <c r="A344" s="4">
        <f t="shared" si="5"/>
        <v>343</v>
      </c>
      <c r="B344" s="4"/>
      <c r="C344" s="4"/>
      <c r="D344" s="4"/>
      <c r="E344" s="4"/>
      <c r="F344" s="6" t="s">
        <v>359</v>
      </c>
      <c r="G344" s="7">
        <v>83</v>
      </c>
      <c r="H344" s="8">
        <v>309</v>
      </c>
      <c r="I344" s="4" t="str">
        <f>VLOOKUP(H344,[1]policlin!B:C,2,1)</f>
        <v>HOSP. I RIO NEGRO - SATIPO</v>
      </c>
      <c r="J344" s="7">
        <v>21014377</v>
      </c>
      <c r="K344" s="7" t="s">
        <v>8</v>
      </c>
    </row>
    <row r="345" spans="1:11" x14ac:dyDescent="0.2">
      <c r="A345" s="4">
        <f t="shared" si="5"/>
        <v>344</v>
      </c>
      <c r="B345" s="4"/>
      <c r="C345" s="4"/>
      <c r="D345" s="4"/>
      <c r="E345" s="4"/>
      <c r="F345" s="6" t="s">
        <v>360</v>
      </c>
      <c r="G345" s="7">
        <v>50</v>
      </c>
      <c r="H345" s="8">
        <v>310</v>
      </c>
      <c r="I345" s="4" t="str">
        <f>VLOOKUP(H345,[1]policlin!B:C,2,1)</f>
        <v>HOSP. I TARMA</v>
      </c>
      <c r="J345" s="7">
        <v>21139889</v>
      </c>
      <c r="K345" s="7" t="s">
        <v>8</v>
      </c>
    </row>
    <row r="346" spans="1:11" x14ac:dyDescent="0.2">
      <c r="A346" s="4">
        <f t="shared" si="5"/>
        <v>345</v>
      </c>
      <c r="B346" s="4"/>
      <c r="C346" s="4"/>
      <c r="D346" s="4"/>
      <c r="E346" s="4"/>
      <c r="F346" s="6" t="s">
        <v>361</v>
      </c>
      <c r="G346" s="7">
        <v>73</v>
      </c>
      <c r="H346" s="8">
        <v>454</v>
      </c>
      <c r="I346" s="4" t="str">
        <f>VLOOKUP(H346,[1]policlin!B:C,2,1)</f>
        <v>CAP II CHILCA</v>
      </c>
      <c r="J346" s="7">
        <v>19878466</v>
      </c>
      <c r="K346" s="7" t="s">
        <v>8</v>
      </c>
    </row>
    <row r="347" spans="1:11" x14ac:dyDescent="0.2">
      <c r="A347" s="4">
        <f t="shared" si="5"/>
        <v>346</v>
      </c>
      <c r="B347" s="4"/>
      <c r="C347" s="4"/>
      <c r="D347" s="4"/>
      <c r="E347" s="4"/>
      <c r="F347" s="6" t="s">
        <v>362</v>
      </c>
      <c r="G347" s="7">
        <v>73</v>
      </c>
      <c r="H347" s="8">
        <v>431</v>
      </c>
      <c r="I347" s="4" t="str">
        <f>VLOOKUP(H347,[1]policlin!B:C,2,1)</f>
        <v>POLI. METROPOLITANO HUANCAYO</v>
      </c>
      <c r="J347" s="7">
        <v>19850662</v>
      </c>
      <c r="K347" s="7" t="s">
        <v>8</v>
      </c>
    </row>
    <row r="348" spans="1:11" x14ac:dyDescent="0.2">
      <c r="A348" s="4">
        <f t="shared" si="5"/>
        <v>347</v>
      </c>
      <c r="B348" s="4"/>
      <c r="C348" s="4"/>
      <c r="D348" s="4"/>
      <c r="E348" s="4"/>
      <c r="F348" s="6" t="s">
        <v>363</v>
      </c>
      <c r="G348" s="7">
        <v>83</v>
      </c>
      <c r="H348" s="8">
        <v>431</v>
      </c>
      <c r="I348" s="4" t="str">
        <f>VLOOKUP(H348,[1]policlin!B:C,2,1)</f>
        <v>POLI. METROPOLITANO HUANCAYO</v>
      </c>
      <c r="J348" s="7">
        <v>21241527</v>
      </c>
      <c r="K348" s="7" t="s">
        <v>8</v>
      </c>
    </row>
    <row r="349" spans="1:11" x14ac:dyDescent="0.2">
      <c r="A349" s="4">
        <f t="shared" si="5"/>
        <v>348</v>
      </c>
      <c r="B349" s="4"/>
      <c r="C349" s="4"/>
      <c r="D349" s="4"/>
      <c r="E349" s="4"/>
      <c r="F349" s="6" t="s">
        <v>364</v>
      </c>
      <c r="G349" s="7">
        <v>78</v>
      </c>
      <c r="H349" s="8">
        <v>431</v>
      </c>
      <c r="I349" s="4" t="str">
        <f>VLOOKUP(H349,[1]policlin!B:C,2,1)</f>
        <v>POLI. METROPOLITANO HUANCAYO</v>
      </c>
      <c r="J349" s="7">
        <v>19854233</v>
      </c>
      <c r="K349" s="7" t="s">
        <v>8</v>
      </c>
    </row>
    <row r="350" spans="1:11" x14ac:dyDescent="0.2">
      <c r="A350" s="4">
        <f t="shared" si="5"/>
        <v>349</v>
      </c>
      <c r="B350" s="4"/>
      <c r="C350" s="4"/>
      <c r="D350" s="4"/>
      <c r="E350" s="4"/>
      <c r="F350" s="6" t="s">
        <v>365</v>
      </c>
      <c r="G350" s="7">
        <v>75</v>
      </c>
      <c r="H350" s="8">
        <v>431</v>
      </c>
      <c r="I350" s="4" t="str">
        <f>VLOOKUP(H350,[1]policlin!B:C,2,1)</f>
        <v>POLI. METROPOLITANO HUANCAYO</v>
      </c>
      <c r="J350" s="7">
        <v>19844742</v>
      </c>
      <c r="K350" s="7" t="s">
        <v>8</v>
      </c>
    </row>
    <row r="351" spans="1:11" x14ac:dyDescent="0.2">
      <c r="A351" s="4">
        <f t="shared" si="5"/>
        <v>350</v>
      </c>
      <c r="B351" s="4"/>
      <c r="C351" s="4"/>
      <c r="D351" s="4"/>
      <c r="E351" s="4"/>
      <c r="F351" s="6" t="s">
        <v>366</v>
      </c>
      <c r="G351" s="7">
        <v>90</v>
      </c>
      <c r="H351" s="8">
        <v>431</v>
      </c>
      <c r="I351" s="4" t="str">
        <f>VLOOKUP(H351,[1]policlin!B:C,2,1)</f>
        <v>POLI. METROPOLITANO HUANCAYO</v>
      </c>
      <c r="J351" s="7">
        <v>21281106</v>
      </c>
      <c r="K351" s="7" t="s">
        <v>8</v>
      </c>
    </row>
    <row r="352" spans="1:11" x14ac:dyDescent="0.2">
      <c r="A352" s="4">
        <f t="shared" si="5"/>
        <v>351</v>
      </c>
      <c r="B352" s="4"/>
      <c r="C352" s="4"/>
      <c r="D352" s="4"/>
      <c r="E352" s="4"/>
      <c r="F352" s="6" t="s">
        <v>367</v>
      </c>
      <c r="G352" s="7">
        <v>60</v>
      </c>
      <c r="H352" s="8">
        <v>494</v>
      </c>
      <c r="I352" s="4" t="str">
        <f>VLOOKUP(H352,[1]policlin!B:C,2,1)</f>
        <v>CAP III MANTARO</v>
      </c>
      <c r="J352" s="7">
        <v>21240402</v>
      </c>
      <c r="K352" s="7" t="s">
        <v>8</v>
      </c>
    </row>
    <row r="353" spans="1:11" x14ac:dyDescent="0.2">
      <c r="A353" s="4">
        <f t="shared" si="5"/>
        <v>352</v>
      </c>
      <c r="B353" s="4"/>
      <c r="C353" s="4"/>
      <c r="D353" s="4"/>
      <c r="E353" s="4"/>
      <c r="F353" s="6" t="s">
        <v>368</v>
      </c>
      <c r="G353" s="7">
        <v>57</v>
      </c>
      <c r="H353" s="8">
        <v>313</v>
      </c>
      <c r="I353" s="4" t="str">
        <f>VLOOKUP(H353,[1]policlin!B:C,2,1)</f>
        <v>HOSP.SELVA CENTRAL -LA MERCED</v>
      </c>
      <c r="J353" s="7">
        <v>20592852</v>
      </c>
      <c r="K353" s="7" t="s">
        <v>8</v>
      </c>
    </row>
    <row r="354" spans="1:11" x14ac:dyDescent="0.2">
      <c r="A354" s="4">
        <f t="shared" si="5"/>
        <v>353</v>
      </c>
      <c r="B354" s="4"/>
      <c r="C354" s="4"/>
      <c r="D354" s="4"/>
      <c r="E354" s="4"/>
      <c r="F354" s="6" t="s">
        <v>369</v>
      </c>
      <c r="G354" s="7">
        <v>37</v>
      </c>
      <c r="H354" s="8">
        <v>431</v>
      </c>
      <c r="I354" s="4" t="str">
        <f>VLOOKUP(H354,[1]policlin!B:C,2,1)</f>
        <v>POLI. METROPOLITANO HUANCAYO</v>
      </c>
      <c r="J354" s="7">
        <v>44550389</v>
      </c>
      <c r="K354" s="7" t="s">
        <v>8</v>
      </c>
    </row>
    <row r="355" spans="1:11" x14ac:dyDescent="0.2">
      <c r="A355" s="4">
        <f t="shared" si="5"/>
        <v>354</v>
      </c>
      <c r="B355" s="4"/>
      <c r="C355" s="4"/>
      <c r="D355" s="4"/>
      <c r="E355" s="4"/>
      <c r="F355" s="6" t="s">
        <v>370</v>
      </c>
      <c r="G355" s="7">
        <v>89</v>
      </c>
      <c r="H355" s="8">
        <v>311</v>
      </c>
      <c r="I355" s="4" t="str">
        <f>VLOOKUP(H355,[1]policlin!B:C,2,1)</f>
        <v>POLI. JAUJA</v>
      </c>
      <c r="J355" s="7">
        <v>20696230</v>
      </c>
      <c r="K355" s="7" t="s">
        <v>8</v>
      </c>
    </row>
    <row r="356" spans="1:11" x14ac:dyDescent="0.2">
      <c r="A356" s="4">
        <f t="shared" si="5"/>
        <v>355</v>
      </c>
      <c r="B356" s="4"/>
      <c r="C356" s="4"/>
      <c r="D356" s="4"/>
      <c r="E356" s="4"/>
      <c r="F356" s="6" t="s">
        <v>371</v>
      </c>
      <c r="G356" s="7">
        <v>73</v>
      </c>
      <c r="H356" s="8">
        <v>431</v>
      </c>
      <c r="I356" s="4" t="str">
        <f>VLOOKUP(H356,[1]policlin!B:C,2,1)</f>
        <v>POLI. METROPOLITANO HUANCAYO</v>
      </c>
      <c r="J356" s="7">
        <v>19922621</v>
      </c>
      <c r="K356" s="7" t="s">
        <v>8</v>
      </c>
    </row>
    <row r="357" spans="1:11" x14ac:dyDescent="0.2">
      <c r="A357" s="4">
        <f t="shared" si="5"/>
        <v>356</v>
      </c>
      <c r="B357" s="4"/>
      <c r="C357" s="4"/>
      <c r="D357" s="4"/>
      <c r="E357" s="4"/>
      <c r="F357" s="6" t="s">
        <v>372</v>
      </c>
      <c r="G357" s="7">
        <v>55</v>
      </c>
      <c r="H357" s="8">
        <v>431</v>
      </c>
      <c r="I357" s="4" t="str">
        <f>VLOOKUP(H357,[1]policlin!B:C,2,1)</f>
        <v>POLI. METROPOLITANO HUANCAYO</v>
      </c>
      <c r="J357" s="7">
        <v>9565217</v>
      </c>
      <c r="K357" s="7" t="s">
        <v>8</v>
      </c>
    </row>
    <row r="358" spans="1:11" x14ac:dyDescent="0.2">
      <c r="A358" s="4">
        <f t="shared" si="5"/>
        <v>357</v>
      </c>
      <c r="B358" s="4"/>
      <c r="C358" s="4"/>
      <c r="D358" s="4"/>
      <c r="E358" s="4"/>
      <c r="F358" s="6" t="s">
        <v>373</v>
      </c>
      <c r="G358" s="7">
        <v>61</v>
      </c>
      <c r="H358" s="8">
        <v>431</v>
      </c>
      <c r="I358" s="4" t="str">
        <f>VLOOKUP(H358,[1]policlin!B:C,2,1)</f>
        <v>POLI. METROPOLITANO HUANCAYO</v>
      </c>
      <c r="J358" s="7">
        <v>23650965</v>
      </c>
      <c r="K358" s="7" t="s">
        <v>8</v>
      </c>
    </row>
    <row r="359" spans="1:11" x14ac:dyDescent="0.2">
      <c r="A359" s="4">
        <f t="shared" si="5"/>
        <v>358</v>
      </c>
      <c r="B359" s="4"/>
      <c r="C359" s="4"/>
      <c r="D359" s="4"/>
      <c r="E359" s="4"/>
      <c r="F359" s="6" t="s">
        <v>374</v>
      </c>
      <c r="G359" s="7">
        <v>83</v>
      </c>
      <c r="H359" s="8">
        <v>504</v>
      </c>
      <c r="I359" s="4" t="str">
        <f>VLOOKUP(H359,[1]policlin!B:C,2,1)</f>
        <v>CAP II CHUPACA</v>
      </c>
      <c r="J359" s="7">
        <v>19934516</v>
      </c>
      <c r="K359" s="7" t="s">
        <v>8</v>
      </c>
    </row>
    <row r="360" spans="1:11" x14ac:dyDescent="0.2">
      <c r="A360" s="4">
        <f t="shared" si="5"/>
        <v>359</v>
      </c>
      <c r="B360" s="4"/>
      <c r="C360" s="4"/>
      <c r="D360" s="4"/>
      <c r="E360" s="4"/>
      <c r="F360" s="6" t="s">
        <v>375</v>
      </c>
      <c r="G360" s="7">
        <v>83</v>
      </c>
      <c r="H360" s="8">
        <v>431</v>
      </c>
      <c r="I360" s="4" t="str">
        <f>VLOOKUP(H360,[1]policlin!B:C,2,1)</f>
        <v>POLI. METROPOLITANO HUANCAYO</v>
      </c>
      <c r="J360" s="7">
        <v>21252800</v>
      </c>
      <c r="K360" s="7" t="s">
        <v>8</v>
      </c>
    </row>
    <row r="361" spans="1:11" x14ac:dyDescent="0.2">
      <c r="A361" s="4">
        <f t="shared" si="5"/>
        <v>360</v>
      </c>
      <c r="B361" s="4"/>
      <c r="C361" s="4"/>
      <c r="D361" s="4"/>
      <c r="E361" s="4"/>
      <c r="F361" s="6" t="s">
        <v>376</v>
      </c>
      <c r="G361" s="7">
        <v>81</v>
      </c>
      <c r="H361" s="8">
        <v>504</v>
      </c>
      <c r="I361" s="4" t="str">
        <f>VLOOKUP(H361,[1]policlin!B:C,2,1)</f>
        <v>CAP II CHUPACA</v>
      </c>
      <c r="J361" s="7">
        <v>19968922</v>
      </c>
      <c r="K361" s="7" t="s">
        <v>8</v>
      </c>
    </row>
    <row r="362" spans="1:11" x14ac:dyDescent="0.2">
      <c r="A362" s="4">
        <f t="shared" si="5"/>
        <v>361</v>
      </c>
      <c r="B362" s="4"/>
      <c r="C362" s="4"/>
      <c r="D362" s="4"/>
      <c r="E362" s="4"/>
      <c r="F362" s="6" t="s">
        <v>377</v>
      </c>
      <c r="G362" s="7">
        <v>74</v>
      </c>
      <c r="H362" s="8">
        <v>431</v>
      </c>
      <c r="I362" s="4" t="str">
        <f>VLOOKUP(H362,[1]policlin!B:C,2,1)</f>
        <v>POLI. METROPOLITANO HUANCAYO</v>
      </c>
      <c r="J362" s="7">
        <v>20015292</v>
      </c>
      <c r="K362" s="7" t="s">
        <v>8</v>
      </c>
    </row>
    <row r="363" spans="1:11" x14ac:dyDescent="0.2">
      <c r="A363" s="4">
        <f t="shared" si="5"/>
        <v>362</v>
      </c>
      <c r="B363" s="4"/>
      <c r="C363" s="4"/>
      <c r="D363" s="4"/>
      <c r="E363" s="4"/>
      <c r="F363" s="6" t="s">
        <v>378</v>
      </c>
      <c r="G363" s="7">
        <v>68</v>
      </c>
      <c r="H363" s="8">
        <v>325</v>
      </c>
      <c r="I363" s="4" t="str">
        <f>VLOOKUP(H363,[1]policlin!B:C,2,1)</f>
        <v>HOSP. II PASCO</v>
      </c>
      <c r="J363" s="7">
        <v>4214805</v>
      </c>
      <c r="K363" s="7" t="s">
        <v>8</v>
      </c>
    </row>
    <row r="364" spans="1:11" x14ac:dyDescent="0.2">
      <c r="A364" s="4">
        <f t="shared" si="5"/>
        <v>363</v>
      </c>
      <c r="B364" s="4"/>
      <c r="C364" s="4"/>
      <c r="D364" s="4"/>
      <c r="E364" s="4"/>
      <c r="F364" s="6" t="s">
        <v>379</v>
      </c>
      <c r="G364" s="7">
        <v>67</v>
      </c>
      <c r="H364" s="8">
        <v>779</v>
      </c>
      <c r="I364" s="4" t="str">
        <f>VLOOKUP(H364,[1]policlin!B:C,2,1)</f>
        <v>UDR-SIS</v>
      </c>
      <c r="J364" s="7">
        <v>20706152</v>
      </c>
      <c r="K364" s="7" t="s">
        <v>8</v>
      </c>
    </row>
    <row r="365" spans="1:11" x14ac:dyDescent="0.2">
      <c r="A365" s="4">
        <f t="shared" si="5"/>
        <v>364</v>
      </c>
      <c r="B365" s="4"/>
      <c r="C365" s="4"/>
      <c r="D365" s="4"/>
      <c r="E365" s="4"/>
      <c r="F365" s="6" t="s">
        <v>380</v>
      </c>
      <c r="G365" s="7">
        <v>66</v>
      </c>
      <c r="H365" s="8">
        <v>431</v>
      </c>
      <c r="I365" s="4" t="str">
        <f>VLOOKUP(H365,[1]policlin!B:C,2,1)</f>
        <v>POLI. METROPOLITANO HUANCAYO</v>
      </c>
      <c r="J365" s="7">
        <v>19960161</v>
      </c>
      <c r="K365" s="7" t="s">
        <v>8</v>
      </c>
    </row>
    <row r="366" spans="1:11" x14ac:dyDescent="0.2">
      <c r="A366" s="4">
        <f t="shared" si="5"/>
        <v>365</v>
      </c>
      <c r="B366" s="4"/>
      <c r="C366" s="4"/>
      <c r="D366" s="4"/>
      <c r="E366" s="4"/>
      <c r="F366" s="6" t="s">
        <v>381</v>
      </c>
      <c r="G366" s="7">
        <v>71</v>
      </c>
      <c r="H366" s="8">
        <v>431</v>
      </c>
      <c r="I366" s="4" t="str">
        <f>VLOOKUP(H366,[1]policlin!B:C,2,1)</f>
        <v>POLI. METROPOLITANO HUANCAYO</v>
      </c>
      <c r="J366" s="7">
        <v>23460425</v>
      </c>
      <c r="K366" s="7" t="s">
        <v>8</v>
      </c>
    </row>
    <row r="367" spans="1:11" x14ac:dyDescent="0.2">
      <c r="A367" s="4">
        <f t="shared" si="5"/>
        <v>366</v>
      </c>
      <c r="B367" s="4"/>
      <c r="C367" s="4"/>
      <c r="D367" s="4"/>
      <c r="E367" s="4"/>
      <c r="F367" s="6" t="s">
        <v>382</v>
      </c>
      <c r="G367" s="7">
        <v>85</v>
      </c>
      <c r="H367" s="8">
        <v>431</v>
      </c>
      <c r="I367" s="4" t="str">
        <f>VLOOKUP(H367,[1]policlin!B:C,2,1)</f>
        <v>POLI. METROPOLITANO HUANCAYO</v>
      </c>
      <c r="J367" s="7">
        <v>19912046</v>
      </c>
      <c r="K367" s="7" t="s">
        <v>8</v>
      </c>
    </row>
    <row r="368" spans="1:11" x14ac:dyDescent="0.2">
      <c r="A368" s="4">
        <f t="shared" si="5"/>
        <v>367</v>
      </c>
      <c r="B368" s="4"/>
      <c r="C368" s="5">
        <v>46090</v>
      </c>
      <c r="D368" s="4"/>
      <c r="E368" s="4"/>
      <c r="F368" s="16" t="s">
        <v>383</v>
      </c>
      <c r="G368" s="21">
        <v>77</v>
      </c>
      <c r="H368" s="21"/>
      <c r="I368" s="13" t="s">
        <v>384</v>
      </c>
      <c r="J368" s="21">
        <v>4004012</v>
      </c>
      <c r="K368" s="21" t="s">
        <v>8</v>
      </c>
    </row>
    <row r="369" spans="1:11" x14ac:dyDescent="0.2">
      <c r="A369" s="4">
        <f t="shared" si="5"/>
        <v>368</v>
      </c>
      <c r="B369" s="4"/>
      <c r="C369" s="5">
        <v>46094</v>
      </c>
      <c r="D369" s="4"/>
      <c r="E369" s="4"/>
      <c r="F369" s="4" t="s">
        <v>385</v>
      </c>
      <c r="G369" s="8"/>
      <c r="H369" s="8"/>
      <c r="I369" s="4" t="s">
        <v>384</v>
      </c>
      <c r="J369" s="8">
        <v>19948068</v>
      </c>
      <c r="K369" s="8" t="s">
        <v>8</v>
      </c>
    </row>
    <row r="370" spans="1:11" x14ac:dyDescent="0.2">
      <c r="A370" s="4">
        <f t="shared" si="5"/>
        <v>369</v>
      </c>
      <c r="B370" s="4"/>
      <c r="C370" s="5">
        <v>46094</v>
      </c>
      <c r="D370" s="4"/>
      <c r="E370" s="4"/>
      <c r="F370" s="4" t="s">
        <v>386</v>
      </c>
      <c r="G370" s="8"/>
      <c r="H370" s="8"/>
      <c r="I370" s="4" t="s">
        <v>387</v>
      </c>
      <c r="J370" s="8">
        <v>19802012</v>
      </c>
      <c r="K370" s="8" t="s">
        <v>8</v>
      </c>
    </row>
    <row r="371" spans="1:11" x14ac:dyDescent="0.2">
      <c r="A371" s="4">
        <f t="shared" si="5"/>
        <v>370</v>
      </c>
      <c r="B371" s="4"/>
      <c r="C371" s="5">
        <v>46097</v>
      </c>
      <c r="D371" s="4"/>
      <c r="E371" s="4"/>
      <c r="F371" s="4" t="s">
        <v>388</v>
      </c>
      <c r="G371" s="8"/>
      <c r="H371" s="8"/>
      <c r="I371" s="4" t="s">
        <v>384</v>
      </c>
      <c r="J371" s="8">
        <v>25402624</v>
      </c>
      <c r="K371" s="8" t="s">
        <v>8</v>
      </c>
    </row>
    <row r="372" spans="1:11" x14ac:dyDescent="0.2">
      <c r="A372" s="4">
        <f t="shared" si="5"/>
        <v>371</v>
      </c>
      <c r="B372" s="5">
        <v>46100</v>
      </c>
      <c r="C372" s="5">
        <v>46086</v>
      </c>
      <c r="D372" s="4"/>
      <c r="E372" s="4"/>
      <c r="F372" s="4" t="s">
        <v>389</v>
      </c>
      <c r="G372" s="8">
        <v>73</v>
      </c>
      <c r="H372" s="8"/>
      <c r="I372" s="4" t="s">
        <v>384</v>
      </c>
      <c r="J372" s="8">
        <v>19910543</v>
      </c>
      <c r="K372" s="8" t="s">
        <v>8</v>
      </c>
    </row>
    <row r="373" spans="1:11" x14ac:dyDescent="0.2">
      <c r="A373" s="4">
        <f t="shared" si="5"/>
        <v>372</v>
      </c>
      <c r="B373" s="4"/>
      <c r="C373" s="22">
        <v>46079</v>
      </c>
      <c r="D373" s="23">
        <v>46065</v>
      </c>
      <c r="E373" s="4"/>
      <c r="F373" s="4" t="s">
        <v>390</v>
      </c>
      <c r="G373" s="8"/>
      <c r="H373" s="8"/>
      <c r="I373" s="4" t="s">
        <v>384</v>
      </c>
      <c r="J373" s="8">
        <v>20014954</v>
      </c>
      <c r="K373" s="8" t="s">
        <v>8</v>
      </c>
    </row>
    <row r="374" spans="1:11" x14ac:dyDescent="0.2">
      <c r="A374" s="4">
        <f t="shared" si="5"/>
        <v>373</v>
      </c>
      <c r="B374" s="4" t="s">
        <v>400</v>
      </c>
      <c r="C374" s="4"/>
      <c r="D374" s="5">
        <v>46065</v>
      </c>
      <c r="E374" s="4"/>
      <c r="F374" s="4" t="s">
        <v>391</v>
      </c>
      <c r="G374" s="8">
        <v>92</v>
      </c>
      <c r="H374" s="8"/>
      <c r="I374" s="4" t="s">
        <v>384</v>
      </c>
      <c r="J374" s="8">
        <v>23654465</v>
      </c>
      <c r="K374" s="8" t="s">
        <v>8</v>
      </c>
    </row>
    <row r="375" spans="1:11" x14ac:dyDescent="0.2">
      <c r="A375" s="4">
        <f t="shared" si="5"/>
        <v>374</v>
      </c>
      <c r="B375" s="4"/>
      <c r="C375" s="4"/>
      <c r="D375" s="5">
        <v>46071</v>
      </c>
      <c r="E375" s="4"/>
      <c r="F375" s="4" t="s">
        <v>392</v>
      </c>
      <c r="G375" s="8"/>
      <c r="H375" s="8"/>
      <c r="I375" s="4"/>
      <c r="J375" s="8">
        <v>21101838</v>
      </c>
      <c r="K375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ERCA3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2026-04-03T15:33:22Z</dcterms:created>
  <dcterms:modified xsi:type="dcterms:W3CDTF">2026-04-07T22:12:23Z</dcterms:modified>
</cp:coreProperties>
</file>